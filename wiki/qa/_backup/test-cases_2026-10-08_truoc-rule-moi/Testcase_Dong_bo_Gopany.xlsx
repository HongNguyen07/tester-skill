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hợp" sheetId="1" state="visible" r:id="rId3"/>
    <sheet name="Testcase" sheetId="2" state="visible" r:id="rId4"/>
    <sheet name="Cần làm rõ với PO" sheetId="3" state="visible" r:id="rId5"/>
  </sheets>
  <definedNames>
    <definedName function="false" hidden="true" localSheetId="1" name="_xlnm._FilterDatabase" vbProcedure="false">Testcase!$A$4:$L$104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<sst xmlns="http://schemas.openxmlformats.org/spreadsheetml/2006/main" count="943" uniqueCount="522">
  <si>
    <t xml:space="preserve">Tổng hợp tiến độ test</t>
  </si>
  <si>
    <t xml:space="preserve">Nhóm</t>
  </si>
  <si>
    <t xml:space="preserve">Tổng</t>
  </si>
  <si>
    <t xml:space="preserve">Positive</t>
  </si>
  <si>
    <t xml:space="preserve">Negative</t>
  </si>
  <si>
    <t xml:space="preserve">Edge</t>
  </si>
  <si>
    <t xml:space="preserve">P1</t>
  </si>
  <si>
    <t xml:space="preserve">Pass</t>
  </si>
  <si>
    <t xml:space="preserve">Fail</t>
  </si>
  <si>
    <t xml:space="preserve">Blocked</t>
  </si>
  <si>
    <t xml:space="preserve">N/A</t>
  </si>
  <si>
    <t xml:space="preserve">Chưa test</t>
  </si>
  <si>
    <t xml:space="preserve">% đã chạy</t>
  </si>
  <si>
    <t xml:space="preserve">1. Liên kết QR (Gopany)</t>
  </si>
  <si>
    <t xml:space="preserve">2. Danh sách admin zaloHub</t>
  </si>
  <si>
    <t xml:space="preserve">3. Đồng bộ</t>
  </si>
  <si>
    <t xml:space="preserve">4. Hủy đồng bộ</t>
  </si>
  <si>
    <t xml:space="preserve">5. Gửi Gopany</t>
  </si>
  <si>
    <t xml:space="preserve">6. Kết quả trên Gopany</t>
  </si>
  <si>
    <t xml:space="preserve">7. Đồng thời / quyền / hệ thống</t>
  </si>
  <si>
    <t xml:space="preserve">Tổng cộng</t>
  </si>
  <si>
    <t xml:space="preserve">Tỉ lệ Pass trên số đã chạy (không tính N/A):</t>
  </si>
  <si>
    <t xml:space="preserve">Testcase – Luồng đồng bộ lịch sử Zalo: Gopany → zaloHub → Gopany</t>
  </si>
  <si>
    <t xml:space="preserve">Nguồn: tài liệu luong-dong-bo-gopany.html (cập nhật 26/09/2026). Cột nền vàng (Kết quả, Người test, Ngày test, Ghi chú / Bug) là cột cần điền; Kết quả chọn từ danh sách.</t>
  </si>
  <si>
    <t xml:space="preserve">ID</t>
  </si>
  <si>
    <t xml:space="preserve">Loại</t>
  </si>
  <si>
    <t xml:space="preserve">Ưu tiên</t>
  </si>
  <si>
    <t xml:space="preserve">Tiêu đề</t>
  </si>
  <si>
    <t xml:space="preserve">Precondition</t>
  </si>
  <si>
    <t xml:space="preserve">Steps</t>
  </si>
  <si>
    <t xml:space="preserve">Expected Result</t>
  </si>
  <si>
    <t xml:space="preserve">Kết quả</t>
  </si>
  <si>
    <t xml:space="preserve">Người test</t>
  </si>
  <si>
    <t xml:space="preserve">Ngày test</t>
  </si>
  <si>
    <t xml:space="preserve">Ghi chú / Bug</t>
  </si>
  <si>
    <t xml:space="preserve">QR-01</t>
  </si>
  <si>
    <t xml:space="preserve">Liên kết lần đầu tài khoản mới (2 mã QR)</t>
  </si>
  <si>
    <t xml:space="preserve">Công ty Gopany A. Zalo X chưa từng liên kết.</t>
  </si>
  <si>
    <t xml:space="preserve">1. Liên kết tài khoản → Thêm liên kết
2. Quét mã QR bằng Zalo X
3. Để camera quét tiếp mã thứ 2
4. Xác nhận đăng nhập trên điện thoại</t>
  </si>
  <si>
    <t xml:space="preserve">Hộp “Kết nối Zalo” hiện QR loại Zalo PC + đếm ngược. Mã thứ 2 hiện đúng vị trí, cùng cỡ mã cũ. Báo “Kết nối thành công!”, thẻ tài khoản “Đang hoạt động”. zaloHub lưu phiên Zalo PC + công ty A.</t>
  </si>
  <si>
    <t xml:space="preserve">QR-02</t>
  </si>
  <si>
    <t xml:space="preserve">Kết nối lại tài khoản cũ (chỉ 1 mã)</t>
  </si>
  <si>
    <t xml:space="preserve">Zalo X đã từng liên kết, đang ở trạng thái ngắt.</t>
  </si>
  <si>
    <t xml:space="preserve">1. Bấm Kết nối trên thẻ X
2. Quét bằng Zalo X
3. Xác nhận trên điện thoại</t>
  </si>
  <si>
    <t xml:space="preserve">Chỉ có 1 mã, không hiện mã thứ 2. Kết nối thành công, thẻ “Đang hoạt động”.</t>
  </si>
  <si>
    <t xml:space="preserve">QR-03</t>
  </si>
  <si>
    <t xml:space="preserve">Mã thứ 2 hết hạn (~12s) khi camera không tự quét</t>
  </si>
  <si>
    <t xml:space="preserve">Zalo X chưa từng liên kết.</t>
  </si>
  <si>
    <t xml:space="preserve">1. Thêm liên kết → quét mã 1
2. Rời camera khỏi màn hình, chờ &gt;12s
3. Quan sát hộp QR</t>
  </si>
  <si>
    <t xml:space="preserve">Có thông báo rõ ràng (hết hạn / làm mới), có cách lấy lại mã; không treo ở trạng thái chờ, không tạo tài khoản dở dang trên zaloHub. (Hành vi chính xác cần PO xác nhận – xem Q1)</t>
  </si>
  <si>
    <t xml:space="preserve">QR-04</t>
  </si>
  <si>
    <t xml:space="preserve">P2</t>
  </si>
  <si>
    <t xml:space="preserve">Quét mã thứ 2 sát thời điểm hết hạn (giây 11–12)</t>
  </si>
  <si>
    <t xml:space="preserve">1. Quét mã 1
2. Cố ý quét mã 2 ở giây ~11</t>
  </si>
  <si>
    <t xml:space="preserve">Hoặc thành công trọn vẹn, hoặc báo lỗi rõ ràng. Không xảy ra trạng thái điện thoại báo OK mà Gopany vẫn chờ.</t>
  </si>
  <si>
    <t xml:space="preserve">QR-05</t>
  </si>
  <si>
    <t xml:space="preserve">Mã “Kết nối” của tài khoản A quét bằng Zalo B</t>
  </si>
  <si>
    <t xml:space="preserve">Thẻ tài khoản A đang ngắt. Có Zalo B khác.</t>
  </si>
  <si>
    <t xml:space="preserve">1. Bấm Kết nối trên thẻ A
2. Quét bằng Zalo B</t>
  </si>
  <si>
    <t xml:space="preserve">Báo “Lỗi trong quá trình quét QR.” Tài khoản A giữ nguyên (tên, UID, dữ liệu). Zalo B không được thêm.</t>
  </si>
  <si>
    <t xml:space="preserve">QR-06</t>
  </si>
  <si>
    <t xml:space="preserve">Mã QR hết hạn → Làm mới mã</t>
  </si>
  <si>
    <t xml:space="preserve">1. Thêm liên kết
2. Chờ đếm ngược về 0
3. Quét mã cũ
4. Bấm Làm mới mã, quét mã mới</t>
  </si>
  <si>
    <t xml:space="preserve">Hết hạn: hiện “Mã QR đã hết hạn”, quét mã cũ không thành công. Mã mới quét được, kết nối thành công.</t>
  </si>
  <si>
    <t xml:space="preserve">QR-07</t>
  </si>
  <si>
    <t xml:space="preserve">Bấm Làm mới mã nhiều lần liên tiếp, quét mã cũ hơn</t>
  </si>
  <si>
    <t xml:space="preserve">1. Thêm liên kết
2. Làm mới mã 3 lần nhanh
3. Quét mã của lần 1 (chụp màn hình trước đó)</t>
  </si>
  <si>
    <t xml:space="preserve">Chỉ mã mới nhất hợp lệ; mã cũ bị từ chối. Không tạo nhiều phiên song song.</t>
  </si>
  <si>
    <t xml:space="preserve">QR-08</t>
  </si>
  <si>
    <t xml:space="preserve">Đóng hộp QR giữa lúc đã quét, chưa xác nhận</t>
  </si>
  <si>
    <t xml:space="preserve">1. Quét mã
2. Đóng hộp “Kết nối Zalo”
3. Xác nhận đăng nhập trên điện thoại</t>
  </si>
  <si>
    <t xml:space="preserve">Hành vi nhất quán: hoặc không tạo liên kết, hoặc tạo và hiện trên danh sách sau khi tải lại. Không có tài khoản “ma” trên zaloHub mà Gopany không thấy.</t>
  </si>
  <si>
    <t xml:space="preserve">QR-09</t>
  </si>
  <si>
    <t xml:space="preserve">Đang mở Zalo PC trên Windows khi liên kết</t>
  </si>
  <si>
    <t xml:space="preserve">Zalo X đang đăng nhập app Zalo PC trên máy tính Windows.</t>
  </si>
  <si>
    <t xml:space="preserve">1. Liên kết X trên Gopany
2. Quan sát app Zalo PC trên máy tính</t>
  </si>
  <si>
    <t xml:space="preserve">App Zalo PC trên máy tính bị đăng xuất. Gopany kết nối thành công.</t>
  </si>
  <si>
    <t xml:space="preserve">QR-10</t>
  </si>
  <si>
    <t xml:space="preserve">Zalo PC trên Windows đăng nhập lại SAU khi liên kết</t>
  </si>
  <si>
    <t xml:space="preserve">X đã liên kết Gopany (phiên Zalo PC).</t>
  </si>
  <si>
    <t xml:space="preserve">1. Đăng nhập lại app Zalo PC trên máy tính bằng X
2. Kiểm tra Gopany và admin zaloHub</t>
  </si>
  <si>
    <t xml:space="preserve">Phiên của zaloHub bị đá: Gopany báo mất kết nối; admin hiện “Mất kết nối”, nút Đồng bộ khoá với lý do tương ứng. (Xem Q2)</t>
  </si>
  <si>
    <t xml:space="preserve">QR-11</t>
  </si>
  <si>
    <t xml:space="preserve">Phiên Zalo Web ở hệ thống khác (Salework) không bị đăng xuất</t>
  </si>
  <si>
    <t xml:space="preserve">X đang đăng nhập Zalo Web trên Salework.</t>
  </si>
  <si>
    <t xml:space="preserve">1. Liên kết X trên Gopany
2. Theo dõi Salework trong lúc quét</t>
  </si>
  <si>
    <t xml:space="preserve">Salework chỉ mất kết nối ~2 giây rồi tự nối lại, vẫn đăng nhập.</t>
  </si>
  <si>
    <t xml:space="preserve">QR-12</t>
  </si>
  <si>
    <t xml:space="preserve">P3</t>
  </si>
  <si>
    <t xml:space="preserve">Thông báo “Đang đồng bộ lịch sử” phía Gopany khi liên kết lại</t>
  </si>
  <si>
    <t xml:space="preserve">X từng liên kết Gopany, có hội thoại cũ trên Gopany.</t>
  </si>
  <si>
    <t xml:space="preserve">1. Kết nối lại X
2. Quan sát hộp QR sau khi thành công
3. Kiểm tra admin zaloHub</t>
  </si>
  <si>
    <t xml:space="preserve">Gopany hiện “Đang đồng bộ lịch sử” vài giây. Admin zaloHub KHÔNG phát sinh lượt Đồng bộ nào.</t>
  </si>
  <si>
    <t xml:space="preserve">QR-13</t>
  </si>
  <si>
    <t xml:space="preserve">Cùng 1 Zalo được 2 công ty Gopany khác nhau liên kết</t>
  </si>
  <si>
    <t xml:space="preserve">X đang liên kết ở công ty A.</t>
  </si>
  <si>
    <t xml:space="preserve">1. Công ty B → Thêm liên kết → quét bằng X
2. Kiểm tra A, B và cột Công ty Gopany trên admin</t>
  </si>
  <si>
    <t xml:space="preserve">Hành vi theo thiết kế (chặn hoặc chuyển). Admin zaloHub hiển thị đúng công ty đang giữ liên kết. Không lẫn dữ liệu giữa A và B. (Xem Q3)</t>
  </si>
  <si>
    <t xml:space="preserve">QR-14</t>
  </si>
  <si>
    <t xml:space="preserve">2 người cùng công ty mở QR cho 2 Zalo khác nhau cùng lúc</t>
  </si>
  <si>
    <t xml:space="preserve">1. Tab 1: Thêm liên kết, quét bằng Zalo X
2. Tab 2: Thêm liên kết, quét bằng Zalo Y (gần như đồng thời)</t>
  </si>
  <si>
    <t xml:space="preserve">Cả 2 thành công, đúng tên/UID, không tráo mã giữa 2 tab.</t>
  </si>
  <si>
    <t xml:space="preserve">QR-15</t>
  </si>
  <si>
    <t xml:space="preserve">Mất mạng trên máy tính khi đang hiện QR</t>
  </si>
  <si>
    <t xml:space="preserve">1. Thêm liên kết
2. Ngắt mạng máy tính 10s rồi bật lại
3. Quét mã</t>
  </si>
  <si>
    <t xml:space="preserve">Có thông báo lỗi/tự làm mới mã hợp lý; không treo đếm ngược.</t>
  </si>
  <si>
    <t xml:space="preserve">QR-16</t>
  </si>
  <si>
    <t xml:space="preserve">Từ chối đăng nhập trên điện thoại</t>
  </si>
  <si>
    <t xml:space="preserve">1. Quét mã
2. Bấm từ chối/huỷ trên điện thoại</t>
  </si>
  <si>
    <t xml:space="preserve">Gopany không báo thành công, có thông báo phù hợp; không tạo tài khoản.</t>
  </si>
  <si>
    <t xml:space="preserve">LS-01</t>
  </si>
  <si>
    <t xml:space="preserve">Tài khoản vừa liên kết hiển thị đúng trạng thái ban đầu</t>
  </si>
  <si>
    <t xml:space="preserve">Vừa làm QR-01 xong.</t>
  </si>
  <si>
    <t xml:space="preserve">1. Admin zaloHub → Đồng bộ Gopany
2. Tìm tài khoản X</t>
  </si>
  <si>
    <t xml:space="preserve">Phiên “Zalo PC”, Đồng bộ “Chưa đồng bộ”, Gửi Gopany “Chưa gửi”, cột Công ty Gopany = A. Có nút Đồng bộ và Gửi Gopany…</t>
  </si>
  <si>
    <t xml:space="preserve">LS-02</t>
  </si>
  <si>
    <t xml:space="preserve">Bấm thẻ số liệu để lọc / bấm lại để bỏ lọc</t>
  </si>
  <si>
    <t xml:space="preserve">Có dữ liệu ở cả 4 trạng thái.</t>
  </si>
  <si>
    <t xml:space="preserve">1. Bấm lần lượt 4 thẻ: Đang chạy, Lỗi/chưa trọn, Chưa đồng bộ, Cần quét QR Zalo PC
2. Bấm lại thẻ đang chọn</t>
  </si>
  <si>
    <t xml:space="preserve">Mỗi thẻ lọc đúng tập tài khoản; bấm lại bỏ lọc. Thẻ đang chọn có trạng thái nổi bật.</t>
  </si>
  <si>
    <t xml:space="preserve">LS-03</t>
  </si>
  <si>
    <t xml:space="preserve">Số trên thẻ đếm theo bộ lọc đang chọn</t>
  </si>
  <si>
    <t xml:space="preserve">1. Chọn Công ty Gopany = A
2. So số trên 4 thẻ với số dòng thực tế khi lọc từng thẻ</t>
  </si>
  <si>
    <t xml:space="preserve">Số trên thẻ khớp số dòng khi kết hợp bộ lọc hiện tại + thẻ.</t>
  </si>
  <si>
    <t xml:space="preserve">LS-04</t>
  </si>
  <si>
    <t xml:space="preserve">Thẻ và bộ lọc trạng thái chồng nhau / mâu thuẫn</t>
  </si>
  <si>
    <t xml:space="preserve">1. Chọn bộ lọc trạng thái = Thành công
2. Bấm thẻ “Chưa đồng bộ”</t>
  </si>
  <si>
    <t xml:space="preserve">Kết quả nhất quán (rỗng hoặc thẻ ghi đè bộ lọc) và có trạng thái rỗng rõ ràng, không lỗi.</t>
  </si>
  <si>
    <t xml:space="preserve">LS-05</t>
  </si>
  <si>
    <t xml:space="preserve">Tìm theo tên / SĐT / UID</t>
  </si>
  <si>
    <t xml:space="preserve">1. Tìm theo tên đầy đủ, 1 phần tên
2. Tìm theo SĐT (có/không số 0 đầu, +84)
3. Tìm theo UID</t>
  </si>
  <si>
    <t xml:space="preserve">Trả đúng tài khoản. Ghi nhận hành vi với định dạng SĐT +84 / 84 / 0.</t>
  </si>
  <si>
    <t xml:space="preserve">LS-06</t>
  </si>
  <si>
    <t xml:space="preserve">Ô chọn công ty tìm không dấu</t>
  </si>
  <si>
    <t xml:space="preserve">Có công ty “Công ty Đồng Hưng”.</t>
  </si>
  <si>
    <t xml:space="preserve">1. Gõ “dong hung”
2. Gõ “ĐỒNG HƯNG”, “Dong Hưng”</t>
  </si>
  <si>
    <t xml:space="preserve">Đều ra đúng công ty (không phân biệt dấu, hoa thường, chữ đ/Đ).</t>
  </si>
  <si>
    <t xml:space="preserve">LS-07</t>
  </si>
  <si>
    <t xml:space="preserve">Ký tự đặc biệt / chuỗi rất dài trong ô tìm</t>
  </si>
  <si>
    <t xml:space="preserve">1. Nhập %, _, ', ", &lt;script&gt;, emoji
2. Nhập chuỗi 500 ký tự</t>
  </si>
  <si>
    <t xml:space="preserve">Không lỗi server, không XSS, trả rỗng hoặc đúng kết quả.</t>
  </si>
  <si>
    <t xml:space="preserve">LS-08</t>
  </si>
  <si>
    <t xml:space="preserve">Bộ lọc và số trang lưu trên URL</t>
  </si>
  <si>
    <t xml:space="preserve">Có &gt;1 trang dữ liệu.</t>
  </si>
  <si>
    <t xml:space="preserve">1. Chọn bộ lọc + sang trang 2
2. F5
3. Copy URL mở tab khác
4. Bấm Back trình duyệt</t>
  </si>
  <si>
    <t xml:space="preserve">Giữ nguyên bộ lọc, trang. Back quay về trạng thái lọc trước.</t>
  </si>
  <si>
    <t xml:space="preserve">LS-09</t>
  </si>
  <si>
    <t xml:space="preserve">URL có tham số sai / trang vượt quá</t>
  </si>
  <si>
    <t xml:space="preserve">1. Sửa URL page=9999
2. Sửa giá trị lọc không tồn tại (session=abc)</t>
  </si>
  <si>
    <t xml:space="preserve">Không trắng trang; về trang hợp lệ hoặc hiện rỗng + bỏ qua tham số sai.</t>
  </si>
  <si>
    <t xml:space="preserve">LS-10</t>
  </si>
  <si>
    <t xml:space="preserve">Đang ở trang cuối thì lọc làm giảm số trang</t>
  </si>
  <si>
    <t xml:space="preserve">1. Sang trang 3
2. Áp bộ lọc chỉ còn 1 trang</t>
  </si>
  <si>
    <t xml:space="preserve">Tự về trang 1, không hiển thị rỗng giả.</t>
  </si>
  <si>
    <t xml:space="preserve">LS-11</t>
  </si>
  <si>
    <t xml:space="preserve">Bảng tự làm mới ~5s khi có lượt đang chạy</t>
  </si>
  <si>
    <t xml:space="preserve">Có 1 lượt đồng bộ đang chạy.</t>
  </si>
  <si>
    <t xml:space="preserve">1. Mở bảng, quan sát cột Đồng bộ
2. Khi lượt xong, quan sát tiếp</t>
  </si>
  <si>
    <t xml:space="preserve">Cột cập nhật ~5s/lần; hết lượt chạy thì ngừng tự làm mới. Không mất bộ lọc / vị trí cuộn khi làm mới.</t>
  </si>
  <si>
    <t xml:space="preserve">LS-12</t>
  </si>
  <si>
    <t xml:space="preserve">Hộp thoại lịch sử hiển thị đủ thông tin</t>
  </si>
  <si>
    <t xml:space="preserve">1. Bấm Gửi Gopany… trên 1 dòng</t>
  </si>
  <si>
    <t xml:space="preserve">Đầu hộp: phiên, công ty Gopany, thời điểm liên kết. Có khung 1, khung 2, mục “Các lượt gần đây” (thu gọn sẵn, tối đa 10 lượt).</t>
  </si>
  <si>
    <t xml:space="preserve">LS-13</t>
  </si>
  <si>
    <t xml:space="preserve">Tài khoản có &gt;10 lượt</t>
  </si>
  <si>
    <t xml:space="preserve">Tài khoản đã chạy 12 lượt.</t>
  </si>
  <si>
    <t xml:space="preserve">1. Mở hộp thoại → mở “Các lượt gần đây”</t>
  </si>
  <si>
    <t xml:space="preserve">Chỉ hiện 10 lượt mới nhất, đúng thứ tự thời gian giảm dần.</t>
  </si>
  <si>
    <t xml:space="preserve">LS-14</t>
  </si>
  <si>
    <t xml:space="preserve">Dòng tài khoản mất kết nối</t>
  </si>
  <si>
    <t xml:space="preserve">Tài khoản X bị mất kết nối.</t>
  </si>
  <si>
    <t xml:space="preserve">1. Tìm X trên bảng</t>
  </si>
  <si>
    <t xml:space="preserve">Cột Tài khoản có nhãn “Mất kết nối”, nút Đồng bộ khoá.</t>
  </si>
  <si>
    <t xml:space="preserve">LS-15</t>
  </si>
  <si>
    <t xml:space="preserve">Tên tài khoản rất dài / có emoji / không có SĐT</t>
  </si>
  <si>
    <t xml:space="preserve">1. Xem dòng và hộp thoại của tài khoản đó trên desktop và màn hình hẹp</t>
  </si>
  <si>
    <t xml:space="preserve">Không vỡ layout, hiển thị cắt gọn hợp lý.</t>
  </si>
  <si>
    <t xml:space="preserve">SY-01</t>
  </si>
  <si>
    <t xml:space="preserve">Đồng bộ thành công tài khoản Zalo PC</t>
  </si>
  <si>
    <t xml:space="preserve">X phiên Zalo PC, đang kết nối, chưa đồng bộ. Điện thoại mở Zalo, màn hình sáng.</t>
  </si>
  <si>
    <t xml:space="preserve">1. Bấm Đồng bộ
2. Đọc hộp xác nhận
3. Bấm Đồng bộ trong hộp
4. Theo dõi tiến độ đến khi xong</t>
  </si>
  <si>
    <t xml:space="preserve">Hộp “Đồng bộ lịch sử tin nhắn?” có tên X. Toast “Đã bắt đầu đồng bộ”. Tiến độ qua đủ 5 bước + % + “N hội thoại · M tin”. Kết thúc: khung 1 “Đã đồng bộ” + giờ; nhật ký “Đồng bộ — Thành công”, nguồn “Trang admin” + tên admin.</t>
  </si>
  <si>
    <t xml:space="preserve">SY-02</t>
  </si>
  <si>
    <t xml:space="preserve">Bấm Huỷ ở hộp xác nhận</t>
  </si>
  <si>
    <t xml:space="preserve">1. Bấm Đồng bộ → Huỷ</t>
  </si>
  <si>
    <t xml:space="preserve">Không phát sinh lượt, không đổi trạng thái.</t>
  </si>
  <si>
    <t xml:space="preserve">SY-03</t>
  </si>
  <si>
    <t xml:space="preserve">Nút khoá: phiên Zalo Web</t>
  </si>
  <si>
    <t xml:space="preserve">Tài khoản phiên Zalo Web.</t>
  </si>
  <si>
    <t xml:space="preserve">1. Rê chuột nút Đồng bộ</t>
  </si>
  <si>
    <t xml:space="preserve">Nút khoá, tooltip “Cần phiên Zalo PC — khách quét lại mã QR Zalo PC”. Tài khoản nằm ở thẻ “Cần quét QR Zalo PC”.</t>
  </si>
  <si>
    <t xml:space="preserve">SY-04</t>
  </si>
  <si>
    <t xml:space="preserve">Nút khoá: mất kết nối</t>
  </si>
  <si>
    <t xml:space="preserve">Tài khoản phiên Zalo PC nhưng mất kết nối.</t>
  </si>
  <si>
    <t xml:space="preserve">Tooltip “Tài khoản mất kết nối — khách cần kết nối lại”.</t>
  </si>
  <si>
    <t xml:space="preserve">SY-05</t>
  </si>
  <si>
    <t xml:space="preserve">Nút khoá: không có quyền</t>
  </si>
  <si>
    <t xml:space="preserve">Admin không có quyền quản lý tài khoản Zalo.</t>
  </si>
  <si>
    <t xml:space="preserve">1. Rê chuột Đồng bộ và Gửi Gopany</t>
  </si>
  <si>
    <t xml:space="preserve">Cả 2 khoá, tooltip “Không có quyền”.</t>
  </si>
  <si>
    <t xml:space="preserve">SY-06</t>
  </si>
  <si>
    <t xml:space="preserve">Nút khoá: đang gửi Gopany</t>
  </si>
  <si>
    <t xml:space="preserve">Tài khoản đang có lượt Gửi Gopany chạy.</t>
  </si>
  <si>
    <t xml:space="preserve">1. Rê chuột Đồng bộ</t>
  </si>
  <si>
    <t xml:space="preserve">Tooltip “Đang gửi sang Gopany — đợi gửi xong”.</t>
  </si>
  <si>
    <t xml:space="preserve">SY-07</t>
  </si>
  <si>
    <t xml:space="preserve">Tooltip ưu tiên khi nhiều điều kiện cùng sai</t>
  </si>
  <si>
    <t xml:space="preserve">Tài khoản phiên Zalo Web + mất kết nối; admin không quyền.</t>
  </si>
  <si>
    <t xml:space="preserve">Hiện 1 lý do theo thứ tự ưu tiên cố định (đề xuất: quyền → phiên → kết nối → đang chạy). Ghi nhận thực tế. (Xem Q4)</t>
  </si>
  <si>
    <t xml:space="preserve">SY-08</t>
  </si>
  <si>
    <t xml:space="preserve">Gọi API Đồng bộ trực tiếp khi nút đang khoá</t>
  </si>
  <si>
    <t xml:space="preserve">Tài khoản phiên Zalo Web / admin không quyền.</t>
  </si>
  <si>
    <t xml:space="preserve">1. Gửi request Đồng bộ qua DevTools/Postman</t>
  </si>
  <si>
    <t xml:space="preserve">Backend từ chối với lỗi phù hợp; không tạo lượt. (Chặn không chỉ ở UI)</t>
  </si>
  <si>
    <t xml:space="preserve">SY-09</t>
  </si>
  <si>
    <t xml:space="preserve">Lượt chạy nền khi đóng hộp thoại / F5 / đóng tab</t>
  </si>
  <si>
    <t xml:space="preserve">Đang đồng bộ.</t>
  </si>
  <si>
    <t xml:space="preserve">1. Đóng hộp thoại
2. F5 trang
3. Đóng tab, mở lại sau 30s</t>
  </si>
  <si>
    <t xml:space="preserve">Lượt vẫn chạy tiếp, tiến độ hiển thị đúng khi mở lại.</t>
  </si>
  <si>
    <t xml:space="preserve">SY-10</t>
  </si>
  <si>
    <t xml:space="preserve">Khoá màn hình điện thoại giữa lượt</t>
  </si>
  <si>
    <t xml:space="preserve">Đang ở bước Lấy tin nhắn từ điện thoại.</t>
  </si>
  <si>
    <t xml:space="preserve">1. Khoá màn hình điện thoại 1 phút
2. Mở lại Zalo</t>
  </si>
  <si>
    <t xml:space="preserve">Lượt tiếp tục hoặc kết thúc với lý do rõ ràng; không treo “Đang chạy” vô thời hạn. (Xem Q5 – timeout)</t>
  </si>
  <si>
    <t xml:space="preserve">SY-11</t>
  </si>
  <si>
    <t xml:space="preserve">Chuyển Zalo xuống nền / mở app khác giữa lượt</t>
  </si>
  <si>
    <t xml:space="preserve">Đang lấy tin.</t>
  </si>
  <si>
    <t xml:space="preserve">1. Chuyển sang app khác 2 phút
2. Quay lại Zalo</t>
  </si>
  <si>
    <t xml:space="preserve">Như SY-10; ghi nhận thời gian tối đa chịu được.</t>
  </si>
  <si>
    <t xml:space="preserve">SY-12</t>
  </si>
  <si>
    <t xml:space="preserve">Điện thoại mất mạng giữa lượt</t>
  </si>
  <si>
    <t xml:space="preserve">1. Bật chế độ máy bay 30s
2. Tắt chế độ máy bay</t>
  </si>
  <si>
    <t xml:space="preserve">Kết thúc với lý do “Mất kết nối giữa chừng” (hoặc tự hồi phục). Không báo Thành công khi thiếu dữ liệu.</t>
  </si>
  <si>
    <t xml:space="preserve">SY-13</t>
  </si>
  <si>
    <t xml:space="preserve">Đổi mạng Wifi ↔ 4G giữa lượt</t>
  </si>
  <si>
    <t xml:space="preserve">1. Tắt Wifi để chuyển 4G</t>
  </si>
  <si>
    <t xml:space="preserve">Hồi phục hoặc báo lỗi rõ; không nhân đôi tin.</t>
  </si>
  <si>
    <t xml:space="preserve">SY-14</t>
  </si>
  <si>
    <t xml:space="preserve">Từ chối yêu cầu đồng bộ trên điện thoại</t>
  </si>
  <si>
    <t xml:space="preserve">1. Bấm Đồng bộ
2. Trên điện thoại từ chối (nếu Zalo hỏi)</t>
  </si>
  <si>
    <t xml:space="preserve">Lượt Thất bại, lý do “Điện thoại từ chối gửi lịch sử”.</t>
  </si>
  <si>
    <t xml:space="preserve">SY-15</t>
  </si>
  <si>
    <t xml:space="preserve">Điện thoại gần đầy bộ nhớ</t>
  </si>
  <si>
    <t xml:space="preserve">Điện thoại còn &lt;100MB.</t>
  </si>
  <si>
    <t xml:space="preserve">1. Đồng bộ tài khoản nhiều tin</t>
  </si>
  <si>
    <t xml:space="preserve">Thất bại, lý do “Điện thoại không đủ bộ nhớ”.</t>
  </si>
  <si>
    <t xml:space="preserve">SY-16</t>
  </si>
  <si>
    <t xml:space="preserve">Đăng xuất Zalo trên điện thoại giữa lượt</t>
  </si>
  <si>
    <t xml:space="preserve">1. Đăng xuất Zalo trên điện thoại</t>
  </si>
  <si>
    <t xml:space="preserve">Lượt Thất bại, lý do “Tài khoản đã đăng xuất trên điện thoại”; tài khoản chuyển mất kết nối.</t>
  </si>
  <si>
    <t xml:space="preserve">SY-17</t>
  </si>
  <si>
    <t xml:space="preserve">Khách quét QR Kết nối lại trên Gopany giữa lượt đồng bộ</t>
  </si>
  <si>
    <t xml:space="preserve">Đang đồng bộ X.</t>
  </si>
  <si>
    <t xml:space="preserve">1. Trên Gopany bấm Kết nối cho X, quét lại</t>
  </si>
  <si>
    <t xml:space="preserve">Lượt dừng với lý do “Kết nối của tài khoản vừa được dựng lại”. Sau đó Đồng bộ lại được.</t>
  </si>
  <si>
    <t xml:space="preserve">SY-18</t>
  </si>
  <si>
    <t xml:space="preserve">Đăng nhập Zalo PC trên Windows giữa lượt</t>
  </si>
  <si>
    <t xml:space="preserve">1. Đăng nhập app Zalo PC bằng X</t>
  </si>
  <si>
    <t xml:space="preserve">Lượt dừng với lý do mất kết nối; tài khoản “Mất kết nối”.</t>
  </si>
  <si>
    <t xml:space="preserve">SY-19</t>
  </si>
  <si>
    <t xml:space="preserve">Bấm Đồng bộ trùng từ tab khác</t>
  </si>
  <si>
    <t xml:space="preserve">Tab 1 đang đồng bộ X; tab 2 mở trang cũ chưa làm mới (nút còn bật).</t>
  </si>
  <si>
    <t xml:space="preserve">1. Tab 2 bấm Đồng bộ → xác nhận</t>
  </si>
  <si>
    <t xml:space="preserve">Báo “Tài khoản đang đồng bộ — vui lòng đợi hoặc bấm "Hủy" rồi thử lại.” Không tạo lượt thứ 2.</t>
  </si>
  <si>
    <t xml:space="preserve">SY-20</t>
  </si>
  <si>
    <t xml:space="preserve">2 admin bấm Đồng bộ cùng 1 tài khoản gần như cùng lúc</t>
  </si>
  <si>
    <t xml:space="preserve">1. Admin 1 và Admin 2 cùng bấm xác nhận trong &lt;1s</t>
  </si>
  <si>
    <t xml:space="preserve">Chỉ 1 lượt được tạo (chống race), người còn lại nhận thông báo trùng.</t>
  </si>
  <si>
    <t xml:space="preserve">SY-21</t>
  </si>
  <si>
    <t xml:space="preserve">Đồng bộ song song nhiều tài khoản</t>
  </si>
  <si>
    <t xml:space="preserve">3 tài khoản Zalo PC khác nhau.</t>
  </si>
  <si>
    <t xml:space="preserve">1. Bấm Đồng bộ cả 3</t>
  </si>
  <si>
    <t xml:space="preserve">Cả 3 chạy song song, tiến độ độc lập, dữ liệu không lẫn.</t>
  </si>
  <si>
    <t xml:space="preserve">SY-22</t>
  </si>
  <si>
    <t xml:space="preserve">Hiệu năng tài khoản lớn</t>
  </si>
  <si>
    <t xml:space="preserve">Tài khoản ~270 hội thoại / 70.000 tin.</t>
  </si>
  <si>
    <t xml:space="preserve">1. Đồng bộ, đo thời gian</t>
  </si>
  <si>
    <t xml:space="preserve">Khoảng 2 phút (± chấp nhận được). Số hội thoại/tin cuối cùng khớp thực tế.</t>
  </si>
  <si>
    <t xml:space="preserve">SY-23</t>
  </si>
  <si>
    <t xml:space="preserve">Tài khoản trống (0 hội thoại)</t>
  </si>
  <si>
    <t xml:space="preserve">Zalo mới tạo, không có tin.</t>
  </si>
  <si>
    <t xml:space="preserve">1. Đồng bộ</t>
  </si>
  <si>
    <t xml:space="preserve">Kết thúc Thành công với “0 hội thoại · 0 tin”, không lỗi chia 0 ở %.</t>
  </si>
  <si>
    <t xml:space="preserve">SY-24</t>
  </si>
  <si>
    <t xml:space="preserve">Đồng bộ lại lần 2 (không có tin mới)</t>
  </si>
  <si>
    <t xml:space="preserve">X đã đồng bộ thành công.</t>
  </si>
  <si>
    <t xml:space="preserve">1. Đồng bộ lại</t>
  </si>
  <si>
    <t xml:space="preserve">Thành công, số tin không nhân đôi trong zaloHub.</t>
  </si>
  <si>
    <t xml:space="preserve">SY-25</t>
  </si>
  <si>
    <t xml:space="preserve">Đồng bộ lại sau khi có thay đổi trên điện thoại</t>
  </si>
  <si>
    <t xml:space="preserve">X đã đồng bộ.</t>
  </si>
  <si>
    <t xml:space="preserve">1. Trên điện thoại: xoá 1 hội thoại, thu hồi 1 tin, sửa 1 tin, nhận tin mới
2. Đồng bộ lại</t>
  </si>
  <si>
    <t xml:space="preserve">Tin mới được thêm. Ghi nhận cách xử lý tin đã xoá/thu hồi/sửa (giữ bản cũ hay cập nhật). (Xem Q6)</t>
  </si>
  <si>
    <t xml:space="preserve">SY-26</t>
  </si>
  <si>
    <t xml:space="preserve">Nhận tin mới trong lúc đang đồng bộ</t>
  </si>
  <si>
    <t xml:space="preserve">1. Gửi vài tin đến X trong lúc chạy</t>
  </si>
  <si>
    <t xml:space="preserve">Tin mới vẫn vào realtime bình thường; không nhân đôi khi đồng bộ trả về cùng tin.</t>
  </si>
  <si>
    <t xml:space="preserve">SY-27</t>
  </si>
  <si>
    <t xml:space="preserve">Điền tên người gửi, tên nhóm</t>
  </si>
  <si>
    <t xml:space="preserve">X có nhóm nhiều thành viên, có người đã rời nhóm, người đổi tên, người không phải bạn bè.</t>
  </si>
  <si>
    <t xml:space="preserve">1. Đồng bộ
2. Kiểm tra dữ liệu tin trong nhóm</t>
  </si>
  <si>
    <t xml:space="preserve">Mỗi tin nhóm có tên người gửi; người đã rời / không phải bạn vẫn có tên hoặc fallback hợp lý (không rỗng).</t>
  </si>
  <si>
    <t xml:space="preserve">SY-28</t>
  </si>
  <si>
    <t xml:space="preserve">Hội thoại có nội dung đặc thù</t>
  </si>
  <si>
    <t xml:space="preserve">Có sticker, ảnh, video, file lớn, voice, danh thiếp, vị trí, tin trả lời, tin chuyển tiếp, emoji, tin rất dài.</t>
  </si>
  <si>
    <t xml:space="preserve">1. Đồng bộ
2. Gửi Gopany
3. Kiểm tra Gopany</t>
  </si>
  <si>
    <t xml:space="preserve">Mỗi loại được lưu/hiển thị hoặc có placeholder rõ; không làm hỏng lượt.</t>
  </si>
  <si>
    <t xml:space="preserve">SY-29</t>
  </si>
  <si>
    <t xml:space="preserve">Tiến độ % đơn điệu, không lùi, không vượt 100%</t>
  </si>
  <si>
    <t xml:space="preserve">1. Theo dõi % suốt lượt</t>
  </si>
  <si>
    <t xml:space="preserve">% tăng dần, dừng ở 100% khi Xong.</t>
  </si>
  <si>
    <t xml:space="preserve">CN-01</t>
  </si>
  <si>
    <t xml:space="preserve">Hủy trong bước Lấy tin nhắn</t>
  </si>
  <si>
    <t xml:space="preserve">1. Bấm Hủy đồng bộ</t>
  </si>
  <si>
    <t xml:space="preserve">Không có hộp hỏi lại. Nhãn “Đang dừng”, nút Hủy ẩn, có dòng giải thích. Kết thúc: “Đã hủy giữa chừng — dữ liệu có thể thiếu, nên đồng bộ lại.”; nhật ký “Đã hủy”.</t>
  </si>
  <si>
    <t xml:space="preserve">CN-02</t>
  </si>
  <si>
    <t xml:space="preserve">Tin đã lấy trước khi hủy vẫn được lưu</t>
  </si>
  <si>
    <t xml:space="preserve">1. Hủy khi đã lấy ~50%
2. Kiểm tra dữ liệu zaloHub</t>
  </si>
  <si>
    <t xml:space="preserve">Tin đã lấy được lưu và điền tên người gửi.</t>
  </si>
  <si>
    <t xml:space="preserve">CN-03</t>
  </si>
  <si>
    <t xml:space="preserve">Không hủy được ở bước Điền tên</t>
  </si>
  <si>
    <t xml:space="preserve">Lượt ở bước Điền tên người gửi, tên nhóm.</t>
  </si>
  <si>
    <t xml:space="preserve">1. Tìm nút Hủy</t>
  </si>
  <si>
    <t xml:space="preserve">Nút ẩn, có dòng báo sắp xong.</t>
  </si>
  <si>
    <t xml:space="preserve">CN-04</t>
  </si>
  <si>
    <t xml:space="preserve">Bấm Hủy đúng lúc lượt chuyển sang bước Điền tên</t>
  </si>
  <si>
    <t xml:space="preserve">1. Bấm Hủy vào thời điểm chuyển bước</t>
  </si>
  <si>
    <t xml:space="preserve">Kết quả nhất quán: hoặc Đã hủy, hoặc Thành công; nhãn và nhật ký khớp nhau.</t>
  </si>
  <si>
    <t xml:space="preserve">CN-05</t>
  </si>
  <si>
    <t xml:space="preserve">Bấm Đồng bộ lại khi đang “Đang dừng”</t>
  </si>
  <si>
    <t xml:space="preserve">Vừa bấm Hủy, lượt đang lưu nốt.</t>
  </si>
  <si>
    <t xml:space="preserve">1. Bấm Đồng bộ (bảng hoặc tab khác)</t>
  </si>
  <si>
    <t xml:space="preserve">Khoá “Đang đồng bộ” hoặc báo trùng; không tạo lượt mới cho đến khi lượt cũ kết thúc.</t>
  </si>
  <si>
    <t xml:space="preserve">CN-06</t>
  </si>
  <si>
    <t xml:space="preserve">Gửi Gopany khi lượt đồng bộ gần nhất là “Đã hủy”</t>
  </si>
  <si>
    <t xml:space="preserve">Lượt đồng bộ gần nhất: Đã hủy.</t>
  </si>
  <si>
    <t xml:space="preserve">1. Mở hộp thoại → Gửi Gopany</t>
  </si>
  <si>
    <t xml:space="preserve">Theo điều kiện, chỉ “lỗi” mới khoá → nút có thể bật và gửi dữ liệu thiếu. Ghi nhận thực tế, cần PO chốt. (Xem Q7)</t>
  </si>
  <si>
    <t xml:space="preserve">CN-07</t>
  </si>
  <si>
    <t xml:space="preserve">Bấm Hủy 2 lần liên tiếp / từ 2 tab</t>
  </si>
  <si>
    <t xml:space="preserve">1. Double-click Hủy
2. Tab khác bấm Hủy</t>
  </si>
  <si>
    <t xml:space="preserve">Không lỗi, 1 kết quả “Đã hủy”.</t>
  </si>
  <si>
    <t xml:space="preserve">CN-08</t>
  </si>
  <si>
    <t xml:space="preserve">Hủy ngay sau khi bắt đầu (bước Đăng nhập)</t>
  </si>
  <si>
    <t xml:space="preserve">1. Xác nhận Đồng bộ rồi bấm Hủy ngay</t>
  </si>
  <si>
    <t xml:space="preserve">Kết thúc “Đã hủy”, 0 tin, không lỗi.</t>
  </si>
  <si>
    <t xml:space="preserve">SD-01</t>
  </si>
  <si>
    <t xml:space="preserve">Gửi Gopany thành công</t>
  </si>
  <si>
    <t xml:space="preserve">X đã đồng bộ thành công, liên kết ở công ty A.</t>
  </si>
  <si>
    <t xml:space="preserve">1. Gửi Gopany… → Gửi Gopany
2. Đọc hộp xác nhận
3. Xác nhận, theo dõi khung 2</t>
  </si>
  <si>
    <t xml:space="preserve">Hộp “Gửi lịch sử sang Gopany?” ghi đúng số tin, tên X, công ty A. Toast “Đang gửi N tin sang Gopany”. Khung 2: Đã gửi, chờ Gopany nhận → Gopany đang nhận (x/y) → “Gopany đã nhận đủ”.</t>
  </si>
  <si>
    <t xml:space="preserve">SD-02</t>
  </si>
  <si>
    <t xml:space="preserve">Gửi lại nhiều lần không nhân đôi tin</t>
  </si>
  <si>
    <t xml:space="preserve">SD-01 đã xong.</t>
  </si>
  <si>
    <t xml:space="preserve">1. Gửi Gopany lần 2, lần 3
2. Kiểm tra Chat trên Gopany</t>
  </si>
  <si>
    <t xml:space="preserve">Mỗi lần số bỏ qua ≈ tổng tin; không có tin trùng trên Gopany.</t>
  </si>
  <si>
    <t xml:space="preserve">SD-03</t>
  </si>
  <si>
    <t xml:space="preserve">Nút khoá khi đang đồng bộ</t>
  </si>
  <si>
    <t xml:space="preserve">1. Đang đồng bộ → rê chuột Gửi Gopany</t>
  </si>
  <si>
    <t xml:space="preserve">Tooltip “Đợi đồng bộ xong rồi gửi”.</t>
  </si>
  <si>
    <t xml:space="preserve">SD-04</t>
  </si>
  <si>
    <t xml:space="preserve">Nút khoá khi lượt đồng bộ gần nhất lỗi</t>
  </si>
  <si>
    <t xml:space="preserve">Lượt đồng bộ gần nhất Thất bại.</t>
  </si>
  <si>
    <t xml:space="preserve">1. Rê chuột Gửi Gopany</t>
  </si>
  <si>
    <t xml:space="preserve">Tooltip “Lượt đồng bộ gần nhất bị lỗi — Đồng bộ lại trước khi gửi”.</t>
  </si>
  <si>
    <t xml:space="preserve">SD-05</t>
  </si>
  <si>
    <t xml:space="preserve">Nút khoá khi đang gửi</t>
  </si>
  <si>
    <t xml:space="preserve">1. Đang gửi → rê chuột Gửi Gopany</t>
  </si>
  <si>
    <t xml:space="preserve">Tooltip “Đang gửi sang Gopany”.</t>
  </si>
  <si>
    <t xml:space="preserve">SD-06</t>
  </si>
  <si>
    <t xml:space="preserve">Gửi khi chưa từng đồng bộ</t>
  </si>
  <si>
    <t xml:space="preserve">Tài khoản “Chưa đồng bộ”.</t>
  </si>
  <si>
    <t xml:space="preserve">1. Gửi Gopany</t>
  </si>
  <si>
    <t xml:space="preserve">Điều kiện không chặn trường hợp này. Kỳ vọng: nút khoá hoặc hộp xác nhận báo 0 tin, không tạo lượt rỗng “Thành công” gây hiểu lầm. (Xem Q8)</t>
  </si>
  <si>
    <t xml:space="preserve">SD-07</t>
  </si>
  <si>
    <t xml:space="preserve">Gửi khi lượt đồng bộ gần nhất “Bị gián đoạn”</t>
  </si>
  <si>
    <t xml:space="preserve">Ghi nhận: “Bị gián đoạn” có được coi là lỗi không? Kỳ vọng nhất quán với CN-06. (Xem Q7)</t>
  </si>
  <si>
    <t xml:space="preserve">SD-08</t>
  </si>
  <si>
    <t xml:space="preserve">Gửi khi tài khoản đang mất kết nối / phiên Zalo Web</t>
  </si>
  <si>
    <t xml:space="preserve">X đã đồng bộ, sau đó mất kết nối.</t>
  </si>
  <si>
    <t xml:space="preserve">Điều kiện không yêu cầu kết nối → gửi được dữ liệu đã lưu. Xác nhận hành vi đúng thiết kế.</t>
  </si>
  <si>
    <t xml:space="preserve">SD-09</t>
  </si>
  <si>
    <t xml:space="preserve">Công ty Gopany đổi giữa lúc đồng bộ và gửi</t>
  </si>
  <si>
    <t xml:space="preserve">X đồng bộ khi thuộc công ty A; sau đó X được liên kết sang công ty B.</t>
  </si>
  <si>
    <t xml:space="preserve">1. Mở hộp thoại, xem công ty trong hộp xác nhận
2. Gửi Gopany
3. Kiểm tra A và B</t>
  </si>
  <si>
    <t xml:space="preserve">Hộp xác nhận hiển thị công ty đang giữ (B). Tin vào B, không vào A. Rủi ro lộ lịch sử cũ cho công ty mới – cần PO duyệt. (Xem Q3)</t>
  </si>
  <si>
    <t xml:space="preserve">SD-10</t>
  </si>
  <si>
    <t xml:space="preserve">Tài khoản đã xoá liên kết trên Gopany rồi Gửi</t>
  </si>
  <si>
    <t xml:space="preserve">X đã đồng bộ; khách xoá liên kết X trên Gopany.</t>
  </si>
  <si>
    <t xml:space="preserve">Nút khoá hoặc “Gopany từ chối” kèm lý do rõ; không tạo dữ liệu mồ côi.</t>
  </si>
  <si>
    <t xml:space="preserve">SD-11</t>
  </si>
  <si>
    <t xml:space="preserve">Tài khoản cũ có công ty “chưa rõ”</t>
  </si>
  <si>
    <t xml:space="preserve">Tài khoản liên kết trước đợt này, cột công ty “chưa rõ”, đang thuộc công ty C bên Gopany.</t>
  </si>
  <si>
    <t xml:space="preserve">Hộp xác nhận hiển thị hợp lý; tin vào công ty C.</t>
  </si>
  <si>
    <t xml:space="preserve">SD-12</t>
  </si>
  <si>
    <t xml:space="preserve">Gopany nhận một phần</t>
  </si>
  <si>
    <t xml:space="preserve">Giả lập Gopany trả lỗi một số lô.</t>
  </si>
  <si>
    <t xml:space="preserve">Khung 2 “Gopany nhận một phần” + số lỗi; nhật ký “Chưa trọn”; thẻ “Lỗi / chưa trọn” tăng. Gửi lại được và bù đủ.</t>
  </si>
  <si>
    <t xml:space="preserve">SD-13</t>
  </si>
  <si>
    <t xml:space="preserve">Gopany từ chối toàn bộ / Gopany down</t>
  </si>
  <si>
    <t xml:space="preserve">Tắt/giả lập lỗi API Gopany.</t>
  </si>
  <si>
    <t xml:space="preserve">“Gopany từ chối” kèm lý do; lượt Thất bại; không treo ở “Đã gửi, chờ Gopany nhận”. (Xem Q5 – timeout)</t>
  </si>
  <si>
    <t xml:space="preserve">SD-14</t>
  </si>
  <si>
    <t xml:space="preserve">Đồng bộ lại rồi gửi: chỉ phần mới được nhận</t>
  </si>
  <si>
    <t xml:space="preserve">Đã gửi đủ lần 1; có tin mới sau đó.</t>
  </si>
  <si>
    <t xml:space="preserve">1. Đồng bộ lại
2. Gửi Gopany</t>
  </si>
  <si>
    <t xml:space="preserve">Số “nhận” ≈ số tin mới, còn lại bỏ qua.</t>
  </si>
  <si>
    <t xml:space="preserve">SD-15</t>
  </si>
  <si>
    <t xml:space="preserve">Gửi song song 2 tài khoản thuộc 2 công ty khác nhau</t>
  </si>
  <si>
    <t xml:space="preserve">1. Gửi X (công ty A) và Y (công ty B) cùng lúc</t>
  </si>
  <si>
    <t xml:space="preserve">Cả 2 chạy song song, dữ liệu đúng công ty.</t>
  </si>
  <si>
    <t xml:space="preserve">SD-16</t>
  </si>
  <si>
    <t xml:space="preserve">Gửi song song 2 tài khoản cùng 1 công ty</t>
  </si>
  <si>
    <t xml:space="preserve">1. Gửi X và Y (cùng công ty A) cùng lúc</t>
  </si>
  <si>
    <t xml:space="preserve">Ghi nhận: chạy song song hay xếp hàng? Không lỗi, không mất tin. (Xem Q9)</t>
  </si>
  <si>
    <t xml:space="preserve">SD-17</t>
  </si>
  <si>
    <t xml:space="preserve">2 admin cùng bấm Gửi 1 tài khoản</t>
  </si>
  <si>
    <t xml:space="preserve">1. Gần như đồng thời xác nhận Gửi</t>
  </si>
  <si>
    <t xml:space="preserve">Chỉ 1 lượt gửi được tạo.</t>
  </si>
  <si>
    <t xml:space="preserve">SD-18</t>
  </si>
  <si>
    <t xml:space="preserve">Số tin trong hộp xác nhận khớp số đã đồng bộ</t>
  </si>
  <si>
    <t xml:space="preserve">1. So số trong hộp xác nhận với “M tin” của lượt đồng bộ</t>
  </si>
  <si>
    <t xml:space="preserve">Khớp (hoặc sai lệch có giải thích nếu có “khoảng”).</t>
  </si>
  <si>
    <t xml:space="preserve">RS-01</t>
  </si>
  <si>
    <t xml:space="preserve">Hội thoại cũ hiện trong Chat của đúng công ty</t>
  </si>
  <si>
    <t xml:space="preserve">SD-01 xong.</t>
  </si>
  <si>
    <t xml:space="preserve">1. Gopany công ty A → Chat → chọn X</t>
  </si>
  <si>
    <t xml:space="preserve">Có hội thoại từ trước lúc liên kết, tin sắp đúng thứ tự thời gian.</t>
  </si>
  <si>
    <t xml:space="preserve">RS-02</t>
  </si>
  <si>
    <t xml:space="preserve">Công ty khác không thấy dữ liệu</t>
  </si>
  <si>
    <t xml:space="preserve">1. Đăng nhập công ty B → Chat</t>
  </si>
  <si>
    <t xml:space="preserve">Không thấy hội thoại/tin của X.</t>
  </si>
  <si>
    <t xml:space="preserve">RS-03</t>
  </si>
  <si>
    <t xml:space="preserve">Tin nhóm có tên người gửi, ảnh/file cũ hiển thị</t>
  </si>
  <si>
    <t xml:space="preserve">1. Mở hội thoại nhóm và hội thoại có ảnh/file</t>
  </si>
  <si>
    <t xml:space="preserve">Tên người gửi đúng; ảnh/file mở được. Ghi nhận file quá cũ đã hết hạn trên Zalo.</t>
  </si>
  <si>
    <t xml:space="preserve">RS-04</t>
  </si>
  <si>
    <t xml:space="preserve">Tin mới sau liên kết vẫn nhận bình thường</t>
  </si>
  <si>
    <t xml:space="preserve">1. Gửi tin mới đến X sau khi đã gửi lịch sử</t>
  </si>
  <si>
    <t xml:space="preserve">Tin mới hiện realtime, đúng vị trí thời gian, không trùng.</t>
  </si>
  <si>
    <t xml:space="preserve">RS-05</t>
  </si>
  <si>
    <t xml:space="preserve">Múi giờ và thứ tự tin cùng giây</t>
  </si>
  <si>
    <t xml:space="preserve">Nhiều tin gửi trong cùng 1 giây; tin quanh 0h.</t>
  </si>
  <si>
    <t xml:space="preserve">1. Kiểm tra thứ tự và ngày hiển thị</t>
  </si>
  <si>
    <t xml:space="preserve">Đúng thứ tự gốc, đúng ngày theo giờ VN (UTC+7).</t>
  </si>
  <si>
    <t xml:space="preserve">RS-06</t>
  </si>
  <si>
    <t xml:space="preserve">Trạng thái đã đọc / số chưa đọc sau khi đổ tin cũ</t>
  </si>
  <si>
    <t xml:space="preserve">1. Xem badge chưa đọc trên Gopany sau khi gửi lịch sử</t>
  </si>
  <si>
    <t xml:space="preserve">Tin cũ không làm bùng badge chưa đọc/thông báo hàng loạt cho nhân viên. (Xem Q10)</t>
  </si>
  <si>
    <t xml:space="preserve">CC-01</t>
  </si>
  <si>
    <t xml:space="preserve">Hệ thống khởi động lại giữa lượt → “Bị gián đoạn”</t>
  </si>
  <si>
    <t xml:space="preserve">Đang đồng bộ/gửi.</t>
  </si>
  <si>
    <t xml:space="preserve">1. Restart service zaloHub
2. Theo dõi trạng thái 0–6 phút
3. Chạy lại</t>
  </si>
  <si>
    <t xml:space="preserve">Khoảng 5 phút sau lượt được đánh dấu “Bị gián đoạn”. Chạy lại thành công.</t>
  </si>
  <si>
    <t xml:space="preserve">CC-02</t>
  </si>
  <si>
    <t xml:space="preserve">Trong 5 phút chờ đánh dấu gián đoạn</t>
  </si>
  <si>
    <t xml:space="preserve">Như CC-01, trong khoảng 0–5 phút.</t>
  </si>
  <si>
    <t xml:space="preserve">1. Thử bấm Đồng bộ / Gửi Gopany</t>
  </si>
  <si>
    <t xml:space="preserve">Ghi nhận: nút khoá “Đang đồng bộ” suốt 5 phút? Có cách cho admin giải phóng không? (Xem Q11)</t>
  </si>
  <si>
    <t xml:space="preserve">CC-03</t>
  </si>
  <si>
    <t xml:space="preserve">Bị thu quyền giữa lượt</t>
  </si>
  <si>
    <t xml:space="preserve">Admin đang có lượt chạy.</t>
  </si>
  <si>
    <t xml:space="preserve">1. Thu quyền quản lý tài khoản Zalo của admin
2. Admin F5</t>
  </si>
  <si>
    <t xml:space="preserve">Lượt đang chạy vẫn chạy tiếp; admin không bấm Hủy/Đồng bộ/Gửi được nữa (UI + API).</t>
  </si>
  <si>
    <t xml:space="preserve">CC-04</t>
  </si>
  <si>
    <t xml:space="preserve">Phiên đăng nhập admin hết hạn khi đang mở hộp thoại</t>
  </si>
  <si>
    <t xml:space="preserve">1. Để hết hạn phiên
2. Bấm Đồng bộ</t>
  </si>
  <si>
    <t xml:space="preserve">Chuyển về đăng nhập; không tạo lượt.</t>
  </si>
  <si>
    <t xml:space="preserve">CC-05</t>
  </si>
  <si>
    <t xml:space="preserve">Nhật ký ghi đúng người bấm, công ty, số liệu</t>
  </si>
  <si>
    <t xml:space="preserve">2 admin khác nhau lần lượt chạy lượt.</t>
  </si>
  <si>
    <t xml:space="preserve">1. Xem “Các lượt gần đây”</t>
  </si>
  <si>
    <t xml:space="preserve">Mỗi lượt: loại, người bấm, công ty Gopany, kết quả, số liệu, lỗi (nếu có) đúng.</t>
  </si>
  <si>
    <t xml:space="preserve">CC-06</t>
  </si>
  <si>
    <t xml:space="preserve">Chuyển Zalo Web → Zalo PC</t>
  </si>
  <si>
    <t xml:space="preserve">Tài khoản phiên Zalo Web, ở thẻ “Cần quét QR Zalo PC”.</t>
  </si>
  <si>
    <t xml:space="preserve">1. Khách bấm Kết nối trên Gopany, quét QR mới
2. Xem admin</t>
  </si>
  <si>
    <t xml:space="preserve">Phiên đổi sang Zalo PC, rời khỏi thẻ “Cần quét QR Zalo PC”, Đồng bộ bấm được.</t>
  </si>
  <si>
    <t xml:space="preserve">CC-07</t>
  </si>
  <si>
    <t xml:space="preserve">Hộp thoại mở lâu, trạng thái thay đổi từ nơi khác</t>
  </si>
  <si>
    <t xml:space="preserve">Mở hộp thoại tài khoản X.</t>
  </si>
  <si>
    <t xml:space="preserve">1. Admin khác bắt đầu Đồng bộ X
2. Quan sát hộp thoại đang mở</t>
  </si>
  <si>
    <t xml:space="preserve">Trong ~2s hộp thoại cập nhật tiến độ, nút Gửi chuyển khoá.</t>
  </si>
  <si>
    <t xml:space="preserve">CC-08</t>
  </si>
  <si>
    <t xml:space="preserve">Nhiều lượt chạy lớn đồng thời (tải)</t>
  </si>
  <si>
    <t xml:space="preserve">10+ tài khoản lớn.</t>
  </si>
  <si>
    <t xml:space="preserve">1. Đồng bộ đồng loạt</t>
  </si>
  <si>
    <t xml:space="preserve">Hệ thống ổn định, không timeout toàn cục, trang admin vẫn phản hồi.</t>
  </si>
  <si>
    <t xml:space="preserve">Điểm tài liệu chưa nói rõ – cần PO/Dev chốt trước khi test</t>
  </si>
  <si>
    <t xml:space="preserve">#</t>
  </si>
  <si>
    <t xml:space="preserve">Câu hỏi</t>
  </si>
  <si>
    <t xml:space="preserve">Testcase liên quan</t>
  </si>
  <si>
    <t xml:space="preserve">Trả lời</t>
  </si>
  <si>
    <t xml:space="preserve">Q1</t>
  </si>
  <si>
    <t xml:space="preserve">Mã QR thứ 2 hết hạn (~12s) thì UI xử lý thế nào: tự làm mới, quay về mã 1, hay báo lỗi?</t>
  </si>
  <si>
    <t xml:space="preserve">QR-03, QR-04</t>
  </si>
  <si>
    <t xml:space="preserve">Q2</t>
  </si>
  <si>
    <t xml:space="preserve">Khi khách đăng nhập lại Zalo PC trên máy tính, zaloHub có tự báo mất kết nối ngay không, Gopany hiển thị gì?</t>
  </si>
  <si>
    <t xml:space="preserve">QR-10, SY-18</t>
  </si>
  <si>
    <t xml:space="preserve">Q3</t>
  </si>
  <si>
    <t xml:space="preserve">Một Zalo liên kết ở công ty A, sau đó công ty B liên kết cùng Zalo: chặn hay chuyển? Nếu chuyển, lịch sử đã đồng bộ khi còn ở A có được gửi cho B không? (rủi ro lộ dữ liệu)</t>
  </si>
  <si>
    <t xml:space="preserve">QR-13, SD-09</t>
  </si>
  <si>
    <t xml:space="preserve">Q4</t>
  </si>
  <si>
    <t xml:space="preserve">Khi nhiều điều kiện khoá cùng lúc, tooltip hiển thị lý do nào trước?</t>
  </si>
  <si>
    <t xml:space="preserve">Q5</t>
  </si>
  <si>
    <t xml:space="preserve">Có timeout cho lượt Đồng bộ (điện thoại khoá màn hình) và lượt Gửi (Gopany không phản hồi) không? Bao lâu?</t>
  </si>
  <si>
    <t xml:space="preserve">SY-10, SY-11, SD-13</t>
  </si>
  <si>
    <t xml:space="preserve">Q6</t>
  </si>
  <si>
    <t xml:space="preserve">Đồng bộ lại: tin đã xoá / thu hồi / sửa trên điện thoại xử lý thế nào ở zaloHub và Gopany (vì Gopany chỉ bỏ tin đã có)?</t>
  </si>
  <si>
    <t xml:space="preserve">Q7</t>
  </si>
  <si>
    <t xml:space="preserve">Lượt đồng bộ gần nhất “Đã hủy” hoặc “Bị gián đoạn” (dữ liệu có thể thiếu) có chặn Gửi Gopany không? Tài liệu chỉ nêu “bị lỗi”.</t>
  </si>
  <si>
    <t xml:space="preserve">CN-06, SD-07</t>
  </si>
  <si>
    <t xml:space="preserve">Q8</t>
  </si>
  <si>
    <t xml:space="preserve">Tài khoản chưa từng đồng bộ có được bấm Gửi Gopany không? Nếu được, kết quả là gì?</t>
  </si>
  <si>
    <t xml:space="preserve">Q9</t>
  </si>
  <si>
    <t xml:space="preserve">Các tài khoản cùng 1 công ty Gopany có gửi song song được không? (tài liệu chỉ nói “các tài khoản Gopany khác nhau”)</t>
  </si>
  <si>
    <t xml:space="preserve">Q10</t>
  </si>
  <si>
    <t xml:space="preserve">Tin lịch sử đổ vào Gopany có bị tính là chưa đọc / bắn thông báo cho nhân viên không?</t>
  </si>
  <si>
    <t xml:space="preserve">Q11</t>
  </si>
  <si>
    <t xml:space="preserve">Trong ~5 phút trước khi lượt bị đánh dấu “Bị gián đoạn”, admin có cách nào giải phóng tài khoản không?</t>
  </si>
  <si>
    <t xml:space="preserve">Q12</t>
  </si>
  <si>
    <t xml:space="preserve">Tìm theo SĐT: hỗ trợ những định dạng nào (0xxx, 84xxx, +84xxx)?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</si>
</sst>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424242"/>
      </patternFill>
    </fill>
    <fill>
      <patternFill patternType="solid">
        <fgColor rgb="FFE6F4EA"/>
        <bgColor rgb="FFFDECEA"/>
      </patternFill>
    </fill>
    <fill>
      <patternFill patternType="solid">
        <fgColor rgb="FFFFF8D6"/>
        <bgColor rgb="FFFFF1DC"/>
      </patternFill>
    </fill>
    <fill>
      <patternFill patternType="solid">
        <fgColor rgb="FFFFF1DC"/>
        <bgColor rgb="FFFFF8D6"/>
      </patternFill>
    </fill>
    <fill>
      <patternFill patternType="solid">
        <fgColor rgb="FFFDECEA"/>
        <bgColor rgb="FFFFF1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FF1DC"/>
          <bgColor rgb="FF000000"/>
        </patternFill>
      </fill>
    </dxf>
    <dxf>
      <fill>
        <patternFill patternType="solid">
          <fgColor rgb="FFFFF8D6"/>
          <bgColor rgb="FF000000"/>
        </patternFill>
      </fill>
    </dxf>
    <dxf>
      <font>
        <name val="Arial"/>
        <charset val="1"/>
        <family val="0"/>
        <b val="1"/>
        <color rgb="FF1B5E20"/>
      </font>
      <fill>
        <patternFill>
          <bgColor rgb="FFC8E6C9"/>
        </patternFill>
      </fill>
    </dxf>
    <dxf>
      <font>
        <name val="Arial"/>
        <charset val="1"/>
        <family val="0"/>
        <b val="1"/>
        <color rgb="FFB71C1C"/>
      </font>
      <fill>
        <patternFill>
          <bgColor rgb="FFFFCDD2"/>
        </patternFill>
      </fill>
    </dxf>
    <dxf>
      <font>
        <name val="Arial"/>
        <charset val="1"/>
        <family val="0"/>
        <b val="1"/>
        <color rgb="FF424242"/>
      </font>
      <fill>
        <patternFill>
          <bgColor rgb="FFE0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FDECEA"/>
      <rgbColor rgb="FF808080"/>
      <rgbColor rgb="FF9999FF"/>
      <rgbColor rgb="FF993366"/>
      <rgbColor rgb="FFFFF8D6"/>
      <rgbColor rgb="FFE6F4E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C8E6C9"/>
      <rgbColor rgb="FFFFF1DC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B71C1C"/>
      <rgbColor rgb="FF993366"/>
      <rgbColor rgb="FF33339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2" min="2" style="0" width="11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customFormat="false" ht="15" hidden="false" customHeight="false" outlineLevel="0" collapsed="false">
      <c r="A4" s="3" t="s">
        <v>13</v>
      </c>
      <c r="B4" s="3" t="n">
        <f aca="false">COUNTIF(Testcase!$B$5:$B$104,$A4)</f>
        <v>16</v>
      </c>
      <c r="C4" s="3" t="n">
        <f aca="false">COUNTIFS(Testcase!$B$5:$B$104,$A4,Testcase!$C$5:$C$104,"Positive")</f>
        <v>4</v>
      </c>
      <c r="D4" s="3" t="n">
        <f aca="false">COUNTIFS(Testcase!$B$5:$B$104,$A4,Testcase!$C$5:$C$104,"Negative")</f>
        <v>3</v>
      </c>
      <c r="E4" s="3" t="n">
        <f aca="false">COUNTIFS(Testcase!$B$5:$B$104,$A4,Testcase!$C$5:$C$104,"Edge")</f>
        <v>9</v>
      </c>
      <c r="F4" s="3" t="n">
        <f aca="false">COUNTIFS(Testcase!$B$5:$B$104,$A4,Testcase!$D$5:$D$104,"P1")</f>
        <v>9</v>
      </c>
      <c r="G4" s="3" t="n">
        <f aca="false">COUNTIFS(Testcase!$B$5:$B$104,$A4,Testcase!$I$5:$I$104,"Pass")</f>
        <v>0</v>
      </c>
      <c r="H4" s="3" t="n">
        <f aca="false">COUNTIFS(Testcase!$B$5:$B$104,$A4,Testcase!$I$5:$I$104,"Fail")</f>
        <v>0</v>
      </c>
      <c r="I4" s="3" t="n">
        <f aca="false">COUNTIFS(Testcase!$B$5:$B$104,$A4,Testcase!$I$5:$I$104,"Blocked")</f>
        <v>0</v>
      </c>
      <c r="J4" s="3" t="n">
        <f aca="false">COUNTIFS(Testcase!$B$5:$B$104,$A4,Testcase!$I$5:$I$104,"N/A")</f>
        <v>0</v>
      </c>
      <c r="K4" s="3" t="n">
        <f aca="false">COUNTIFS(Testcase!$B$5:$B$104,$A4,Testcase!$I$5:$I$104,"Chưa test")</f>
        <v>16</v>
      </c>
      <c r="L4" s="4" t="n">
        <f aca="false">IF(B4=0,0,(B4-K4)/B4)</f>
        <v>0</v>
      </c>
    </row>
    <row r="5" customFormat="false" ht="15" hidden="false" customHeight="false" outlineLevel="0" collapsed="false">
      <c r="A5" s="3" t="s">
        <v>14</v>
      </c>
      <c r="B5" s="3" t="n">
        <f aca="false">COUNTIF(Testcase!$B$5:$B$104,$A5)</f>
        <v>15</v>
      </c>
      <c r="C5" s="3" t="n">
        <f aca="false">COUNTIFS(Testcase!$B$5:$B$104,$A5,Testcase!$C$5:$C$104,"Positive")</f>
        <v>9</v>
      </c>
      <c r="D5" s="3" t="n">
        <f aca="false">COUNTIFS(Testcase!$B$5:$B$104,$A5,Testcase!$C$5:$C$104,"Negative")</f>
        <v>0</v>
      </c>
      <c r="E5" s="3" t="n">
        <f aca="false">COUNTIFS(Testcase!$B$5:$B$104,$A5,Testcase!$C$5:$C$104,"Edge")</f>
        <v>6</v>
      </c>
      <c r="F5" s="3" t="n">
        <f aca="false">COUNTIFS(Testcase!$B$5:$B$104,$A5,Testcase!$D$5:$D$104,"P1")</f>
        <v>2</v>
      </c>
      <c r="G5" s="3" t="n">
        <f aca="false">COUNTIFS(Testcase!$B$5:$B$104,$A5,Testcase!$I$5:$I$104,"Pass")</f>
        <v>0</v>
      </c>
      <c r="H5" s="3" t="n">
        <f aca="false">COUNTIFS(Testcase!$B$5:$B$104,$A5,Testcase!$I$5:$I$104,"Fail")</f>
        <v>0</v>
      </c>
      <c r="I5" s="3" t="n">
        <f aca="false">COUNTIFS(Testcase!$B$5:$B$104,$A5,Testcase!$I$5:$I$104,"Blocked")</f>
        <v>0</v>
      </c>
      <c r="J5" s="3" t="n">
        <f aca="false">COUNTIFS(Testcase!$B$5:$B$104,$A5,Testcase!$I$5:$I$104,"N/A")</f>
        <v>0</v>
      </c>
      <c r="K5" s="3" t="n">
        <f aca="false">COUNTIFS(Testcase!$B$5:$B$104,$A5,Testcase!$I$5:$I$104,"Chưa test")</f>
        <v>15</v>
      </c>
      <c r="L5" s="4" t="n">
        <f aca="false">IF(B5=0,0,(B5-K5)/B5)</f>
        <v>0</v>
      </c>
    </row>
    <row r="6" customFormat="false" ht="15" hidden="false" customHeight="false" outlineLevel="0" collapsed="false">
      <c r="A6" s="3" t="s">
        <v>15</v>
      </c>
      <c r="B6" s="3" t="n">
        <f aca="false">COUNTIF(Testcase!$B$5:$B$104,$A6)</f>
        <v>29</v>
      </c>
      <c r="C6" s="3" t="n">
        <f aca="false">COUNTIFS(Testcase!$B$5:$B$104,$A6,Testcase!$C$5:$C$104,"Positive")</f>
        <v>6</v>
      </c>
      <c r="D6" s="3" t="n">
        <f aca="false">COUNTIFS(Testcase!$B$5:$B$104,$A6,Testcase!$C$5:$C$104,"Negative")</f>
        <v>7</v>
      </c>
      <c r="E6" s="3" t="n">
        <f aca="false">COUNTIFS(Testcase!$B$5:$B$104,$A6,Testcase!$C$5:$C$104,"Edge")</f>
        <v>16</v>
      </c>
      <c r="F6" s="3" t="n">
        <f aca="false">COUNTIFS(Testcase!$B$5:$B$104,$A6,Testcase!$D$5:$D$104,"P1")</f>
        <v>19</v>
      </c>
      <c r="G6" s="3" t="n">
        <f aca="false">COUNTIFS(Testcase!$B$5:$B$104,$A6,Testcase!$I$5:$I$104,"Pass")</f>
        <v>0</v>
      </c>
      <c r="H6" s="3" t="n">
        <f aca="false">COUNTIFS(Testcase!$B$5:$B$104,$A6,Testcase!$I$5:$I$104,"Fail")</f>
        <v>0</v>
      </c>
      <c r="I6" s="3" t="n">
        <f aca="false">COUNTIFS(Testcase!$B$5:$B$104,$A6,Testcase!$I$5:$I$104,"Blocked")</f>
        <v>0</v>
      </c>
      <c r="J6" s="3" t="n">
        <f aca="false">COUNTIFS(Testcase!$B$5:$B$104,$A6,Testcase!$I$5:$I$104,"N/A")</f>
        <v>0</v>
      </c>
      <c r="K6" s="3" t="n">
        <f aca="false">COUNTIFS(Testcase!$B$5:$B$104,$A6,Testcase!$I$5:$I$104,"Chưa test")</f>
        <v>29</v>
      </c>
      <c r="L6" s="4" t="n">
        <f aca="false">IF(B6=0,0,(B6-K6)/B6)</f>
        <v>0</v>
      </c>
    </row>
    <row r="7" customFormat="false" ht="15" hidden="false" customHeight="false" outlineLevel="0" collapsed="false">
      <c r="A7" s="3" t="s">
        <v>16</v>
      </c>
      <c r="B7" s="3" t="n">
        <f aca="false">COUNTIF(Testcase!$B$5:$B$104,$A7)</f>
        <v>8</v>
      </c>
      <c r="C7" s="3" t="n">
        <f aca="false">COUNTIFS(Testcase!$B$5:$B$104,$A7,Testcase!$C$5:$C$104,"Positive")</f>
        <v>2</v>
      </c>
      <c r="D7" s="3" t="n">
        <f aca="false">COUNTIFS(Testcase!$B$5:$B$104,$A7,Testcase!$C$5:$C$104,"Negative")</f>
        <v>1</v>
      </c>
      <c r="E7" s="3" t="n">
        <f aca="false">COUNTIFS(Testcase!$B$5:$B$104,$A7,Testcase!$C$5:$C$104,"Edge")</f>
        <v>5</v>
      </c>
      <c r="F7" s="3" t="n">
        <f aca="false">COUNTIFS(Testcase!$B$5:$B$104,$A7,Testcase!$D$5:$D$104,"P1")</f>
        <v>6</v>
      </c>
      <c r="G7" s="3" t="n">
        <f aca="false">COUNTIFS(Testcase!$B$5:$B$104,$A7,Testcase!$I$5:$I$104,"Pass")</f>
        <v>0</v>
      </c>
      <c r="H7" s="3" t="n">
        <f aca="false">COUNTIFS(Testcase!$B$5:$B$104,$A7,Testcase!$I$5:$I$104,"Fail")</f>
        <v>0</v>
      </c>
      <c r="I7" s="3" t="n">
        <f aca="false">COUNTIFS(Testcase!$B$5:$B$104,$A7,Testcase!$I$5:$I$104,"Blocked")</f>
        <v>0</v>
      </c>
      <c r="J7" s="3" t="n">
        <f aca="false">COUNTIFS(Testcase!$B$5:$B$104,$A7,Testcase!$I$5:$I$104,"N/A")</f>
        <v>0</v>
      </c>
      <c r="K7" s="3" t="n">
        <f aca="false">COUNTIFS(Testcase!$B$5:$B$104,$A7,Testcase!$I$5:$I$104,"Chưa test")</f>
        <v>8</v>
      </c>
      <c r="L7" s="4" t="n">
        <f aca="false">IF(B7=0,0,(B7-K7)/B7)</f>
        <v>0</v>
      </c>
    </row>
    <row r="8" customFormat="false" ht="15" hidden="false" customHeight="false" outlineLevel="0" collapsed="false">
      <c r="A8" s="3" t="s">
        <v>17</v>
      </c>
      <c r="B8" s="3" t="n">
        <f aca="false">COUNTIF(Testcase!$B$5:$B$104,$A8)</f>
        <v>18</v>
      </c>
      <c r="C8" s="3" t="n">
        <f aca="false">COUNTIFS(Testcase!$B$5:$B$104,$A8,Testcase!$C$5:$C$104,"Positive")</f>
        <v>4</v>
      </c>
      <c r="D8" s="3" t="n">
        <f aca="false">COUNTIFS(Testcase!$B$5:$B$104,$A8,Testcase!$C$5:$C$104,"Negative")</f>
        <v>3</v>
      </c>
      <c r="E8" s="3" t="n">
        <f aca="false">COUNTIFS(Testcase!$B$5:$B$104,$A8,Testcase!$C$5:$C$104,"Edge")</f>
        <v>11</v>
      </c>
      <c r="F8" s="3" t="n">
        <f aca="false">COUNTIFS(Testcase!$B$5:$B$104,$A8,Testcase!$D$5:$D$104,"P1")</f>
        <v>12</v>
      </c>
      <c r="G8" s="3" t="n">
        <f aca="false">COUNTIFS(Testcase!$B$5:$B$104,$A8,Testcase!$I$5:$I$104,"Pass")</f>
        <v>0</v>
      </c>
      <c r="H8" s="3" t="n">
        <f aca="false">COUNTIFS(Testcase!$B$5:$B$104,$A8,Testcase!$I$5:$I$104,"Fail")</f>
        <v>0</v>
      </c>
      <c r="I8" s="3" t="n">
        <f aca="false">COUNTIFS(Testcase!$B$5:$B$104,$A8,Testcase!$I$5:$I$104,"Blocked")</f>
        <v>0</v>
      </c>
      <c r="J8" s="3" t="n">
        <f aca="false">COUNTIFS(Testcase!$B$5:$B$104,$A8,Testcase!$I$5:$I$104,"N/A")</f>
        <v>0</v>
      </c>
      <c r="K8" s="3" t="n">
        <f aca="false">COUNTIFS(Testcase!$B$5:$B$104,$A8,Testcase!$I$5:$I$104,"Chưa test")</f>
        <v>18</v>
      </c>
      <c r="L8" s="4" t="n">
        <f aca="false">IF(B8=0,0,(B8-K8)/B8)</f>
        <v>0</v>
      </c>
    </row>
    <row r="9" customFormat="false" ht="15" hidden="false" customHeight="false" outlineLevel="0" collapsed="false">
      <c r="A9" s="3" t="s">
        <v>18</v>
      </c>
      <c r="B9" s="3" t="n">
        <f aca="false">COUNTIF(Testcase!$B$5:$B$104,$A9)</f>
        <v>6</v>
      </c>
      <c r="C9" s="3" t="n">
        <f aca="false">COUNTIFS(Testcase!$B$5:$B$104,$A9,Testcase!$C$5:$C$104,"Positive")</f>
        <v>3</v>
      </c>
      <c r="D9" s="3" t="n">
        <f aca="false">COUNTIFS(Testcase!$B$5:$B$104,$A9,Testcase!$C$5:$C$104,"Negative")</f>
        <v>1</v>
      </c>
      <c r="E9" s="3" t="n">
        <f aca="false">COUNTIFS(Testcase!$B$5:$B$104,$A9,Testcase!$C$5:$C$104,"Edge")</f>
        <v>2</v>
      </c>
      <c r="F9" s="3" t="n">
        <f aca="false">COUNTIFS(Testcase!$B$5:$B$104,$A9,Testcase!$D$5:$D$104,"P1")</f>
        <v>3</v>
      </c>
      <c r="G9" s="3" t="n">
        <f aca="false">COUNTIFS(Testcase!$B$5:$B$104,$A9,Testcase!$I$5:$I$104,"Pass")</f>
        <v>0</v>
      </c>
      <c r="H9" s="3" t="n">
        <f aca="false">COUNTIFS(Testcase!$B$5:$B$104,$A9,Testcase!$I$5:$I$104,"Fail")</f>
        <v>0</v>
      </c>
      <c r="I9" s="3" t="n">
        <f aca="false">COUNTIFS(Testcase!$B$5:$B$104,$A9,Testcase!$I$5:$I$104,"Blocked")</f>
        <v>0</v>
      </c>
      <c r="J9" s="3" t="n">
        <f aca="false">COUNTIFS(Testcase!$B$5:$B$104,$A9,Testcase!$I$5:$I$104,"N/A")</f>
        <v>0</v>
      </c>
      <c r="K9" s="3" t="n">
        <f aca="false">COUNTIFS(Testcase!$B$5:$B$104,$A9,Testcase!$I$5:$I$104,"Chưa test")</f>
        <v>6</v>
      </c>
      <c r="L9" s="4" t="n">
        <f aca="false">IF(B9=0,0,(B9-K9)/B9)</f>
        <v>0</v>
      </c>
    </row>
    <row r="10" customFormat="false" ht="15" hidden="false" customHeight="false" outlineLevel="0" collapsed="false">
      <c r="A10" s="3" t="s">
        <v>19</v>
      </c>
      <c r="B10" s="3" t="n">
        <f aca="false">COUNTIF(Testcase!$B$5:$B$104,$A10)</f>
        <v>8</v>
      </c>
      <c r="C10" s="3" t="n">
        <f aca="false">COUNTIFS(Testcase!$B$5:$B$104,$A10,Testcase!$C$5:$C$104,"Positive")</f>
        <v>2</v>
      </c>
      <c r="D10" s="3" t="n">
        <f aca="false">COUNTIFS(Testcase!$B$5:$B$104,$A10,Testcase!$C$5:$C$104,"Negative")</f>
        <v>0</v>
      </c>
      <c r="E10" s="3" t="n">
        <f aca="false">COUNTIFS(Testcase!$B$5:$B$104,$A10,Testcase!$C$5:$C$104,"Edge")</f>
        <v>6</v>
      </c>
      <c r="F10" s="3" t="n">
        <f aca="false">COUNTIFS(Testcase!$B$5:$B$104,$A10,Testcase!$D$5:$D$104,"P1")</f>
        <v>3</v>
      </c>
      <c r="G10" s="3" t="n">
        <f aca="false">COUNTIFS(Testcase!$B$5:$B$104,$A10,Testcase!$I$5:$I$104,"Pass")</f>
        <v>0</v>
      </c>
      <c r="H10" s="3" t="n">
        <f aca="false">COUNTIFS(Testcase!$B$5:$B$104,$A10,Testcase!$I$5:$I$104,"Fail")</f>
        <v>0</v>
      </c>
      <c r="I10" s="3" t="n">
        <f aca="false">COUNTIFS(Testcase!$B$5:$B$104,$A10,Testcase!$I$5:$I$104,"Blocked")</f>
        <v>0</v>
      </c>
      <c r="J10" s="3" t="n">
        <f aca="false">COUNTIFS(Testcase!$B$5:$B$104,$A10,Testcase!$I$5:$I$104,"N/A")</f>
        <v>0</v>
      </c>
      <c r="K10" s="3" t="n">
        <f aca="false">COUNTIFS(Testcase!$B$5:$B$104,$A10,Testcase!$I$5:$I$104,"Chưa test")</f>
        <v>8</v>
      </c>
      <c r="L10" s="4" t="n">
        <f aca="false">IF(B10=0,0,(B10-K10)/B10)</f>
        <v>0</v>
      </c>
    </row>
    <row r="11" customFormat="false" ht="15" hidden="false" customHeight="false" outlineLevel="0" collapsed="false">
      <c r="A11" s="5" t="s">
        <v>20</v>
      </c>
      <c r="B11" s="5" t="n">
        <f aca="false">SUM(B4:B10)</f>
        <v>100</v>
      </c>
      <c r="C11" s="5" t="n">
        <f aca="false">SUM(C4:C10)</f>
        <v>30</v>
      </c>
      <c r="D11" s="5" t="n">
        <f aca="false">SUM(D4:D10)</f>
        <v>15</v>
      </c>
      <c r="E11" s="5" t="n">
        <f aca="false">SUM(E4:E10)</f>
        <v>55</v>
      </c>
      <c r="F11" s="5" t="n">
        <f aca="false">SUM(F4:F10)</f>
        <v>54</v>
      </c>
      <c r="G11" s="5" t="n">
        <f aca="false">SUM(G4:G10)</f>
        <v>0</v>
      </c>
      <c r="H11" s="5" t="n">
        <f aca="false">SUM(H4:H10)</f>
        <v>0</v>
      </c>
      <c r="I11" s="5" t="n">
        <f aca="false">SUM(I4:I10)</f>
        <v>0</v>
      </c>
      <c r="J11" s="5" t="n">
        <f aca="false">SUM(J4:J10)</f>
        <v>0</v>
      </c>
      <c r="K11" s="5" t="n">
        <f aca="false">SUM(K4:K10)</f>
        <v>100</v>
      </c>
      <c r="L11" s="6" t="n">
        <f aca="false">IF(B11=0,0,(B11-K11)/B11)</f>
        <v>0</v>
      </c>
    </row>
    <row r="13" customFormat="false" ht="15" hidden="false" customHeight="false" outlineLevel="0" collapsed="false">
      <c r="A13" s="7" t="s">
        <v>21</v>
      </c>
      <c r="G13" s="8" t="n">
        <f aca="false">IF((G11+H11+I11)=0,0,G11/(G11+H11+I11))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36"/>
    <col collapsed="false" customWidth="true" hidden="false" outlineLevel="0" max="6" min="6" style="0" width="32"/>
    <col collapsed="false" customWidth="true" hidden="false" outlineLevel="0" max="7" min="7" style="0" width="44"/>
    <col collapsed="false" customWidth="true" hidden="false" outlineLevel="0" max="8" min="8" style="0" width="54"/>
    <col collapsed="false" customWidth="true" hidden="false" outlineLevel="0" max="11" min="9" style="0" width="12"/>
    <col collapsed="false" customWidth="true" hidden="false" outlineLevel="0" max="12" min="12" style="0" width="28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9" t="s">
        <v>23</v>
      </c>
    </row>
    <row r="4" customFormat="false" ht="15" hidden="false" customHeight="false" outlineLevel="0" collapsed="false">
      <c r="A4" s="2" t="s">
        <v>24</v>
      </c>
      <c r="B4" s="2" t="s">
        <v>1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33</v>
      </c>
      <c r="L4" s="2" t="s">
        <v>34</v>
      </c>
    </row>
    <row r="5" customFormat="false" ht="46.25" hidden="false" customHeight="false" outlineLevel="0" collapsed="false">
      <c r="A5" s="10" t="s">
        <v>35</v>
      </c>
      <c r="B5" s="10" t="s">
        <v>13</v>
      </c>
      <c r="C5" s="11" t="s">
        <v>3</v>
      </c>
      <c r="D5" s="10" t="s">
        <v>6</v>
      </c>
      <c r="E5" s="10" t="s">
        <v>36</v>
      </c>
      <c r="F5" s="10" t="s">
        <v>37</v>
      </c>
      <c r="G5" s="10" t="s">
        <v>38</v>
      </c>
      <c r="H5" s="10" t="s">
        <v>39</v>
      </c>
      <c r="I5" s="12" t="s">
        <v>11</v>
      </c>
      <c r="J5" s="12"/>
      <c r="K5" s="12"/>
      <c r="L5" s="12"/>
    </row>
    <row r="6" customFormat="false" ht="35.05" hidden="false" customHeight="false" outlineLevel="0" collapsed="false">
      <c r="A6" s="10" t="s">
        <v>40</v>
      </c>
      <c r="B6" s="10" t="s">
        <v>13</v>
      </c>
      <c r="C6" s="11" t="s">
        <v>3</v>
      </c>
      <c r="D6" s="10" t="s">
        <v>6</v>
      </c>
      <c r="E6" s="10" t="s">
        <v>41</v>
      </c>
      <c r="F6" s="10" t="s">
        <v>42</v>
      </c>
      <c r="G6" s="10" t="s">
        <v>43</v>
      </c>
      <c r="H6" s="10" t="s">
        <v>44</v>
      </c>
      <c r="I6" s="12" t="s">
        <v>11</v>
      </c>
      <c r="J6" s="12"/>
      <c r="K6" s="12"/>
      <c r="L6" s="12"/>
    </row>
    <row r="7" customFormat="false" ht="35.05" hidden="false" customHeight="false" outlineLevel="0" collapsed="false">
      <c r="A7" s="10" t="s">
        <v>45</v>
      </c>
      <c r="B7" s="10" t="s">
        <v>13</v>
      </c>
      <c r="C7" s="13" t="s">
        <v>5</v>
      </c>
      <c r="D7" s="10" t="s">
        <v>6</v>
      </c>
      <c r="E7" s="10" t="s">
        <v>46</v>
      </c>
      <c r="F7" s="10" t="s">
        <v>47</v>
      </c>
      <c r="G7" s="10" t="s">
        <v>48</v>
      </c>
      <c r="H7" s="10" t="s">
        <v>49</v>
      </c>
      <c r="I7" s="12" t="s">
        <v>11</v>
      </c>
      <c r="J7" s="12"/>
      <c r="K7" s="12"/>
      <c r="L7" s="12"/>
    </row>
    <row r="8" customFormat="false" ht="23.85" hidden="false" customHeight="false" outlineLevel="0" collapsed="false">
      <c r="A8" s="10" t="s">
        <v>50</v>
      </c>
      <c r="B8" s="10" t="s">
        <v>13</v>
      </c>
      <c r="C8" s="13" t="s">
        <v>5</v>
      </c>
      <c r="D8" s="10" t="s">
        <v>51</v>
      </c>
      <c r="E8" s="10" t="s">
        <v>52</v>
      </c>
      <c r="F8" s="10" t="s">
        <v>47</v>
      </c>
      <c r="G8" s="10" t="s">
        <v>53</v>
      </c>
      <c r="H8" s="10" t="s">
        <v>54</v>
      </c>
      <c r="I8" s="12" t="s">
        <v>11</v>
      </c>
      <c r="J8" s="12"/>
      <c r="K8" s="12"/>
      <c r="L8" s="12"/>
    </row>
    <row r="9" customFormat="false" ht="23.85" hidden="false" customHeight="false" outlineLevel="0" collapsed="false">
      <c r="A9" s="10" t="s">
        <v>55</v>
      </c>
      <c r="B9" s="10" t="s">
        <v>13</v>
      </c>
      <c r="C9" s="14" t="s">
        <v>4</v>
      </c>
      <c r="D9" s="10" t="s">
        <v>6</v>
      </c>
      <c r="E9" s="10" t="s">
        <v>56</v>
      </c>
      <c r="F9" s="10" t="s">
        <v>57</v>
      </c>
      <c r="G9" s="10" t="s">
        <v>58</v>
      </c>
      <c r="H9" s="10" t="s">
        <v>59</v>
      </c>
      <c r="I9" s="12" t="s">
        <v>11</v>
      </c>
      <c r="J9" s="12"/>
      <c r="K9" s="12"/>
      <c r="L9" s="12"/>
    </row>
    <row r="10" customFormat="false" ht="46.25" hidden="false" customHeight="false" outlineLevel="0" collapsed="false">
      <c r="A10" s="10" t="s">
        <v>60</v>
      </c>
      <c r="B10" s="10" t="s">
        <v>13</v>
      </c>
      <c r="C10" s="14" t="s">
        <v>4</v>
      </c>
      <c r="D10" s="10" t="s">
        <v>6</v>
      </c>
      <c r="E10" s="10" t="s">
        <v>61</v>
      </c>
      <c r="F10" s="10"/>
      <c r="G10" s="10" t="s">
        <v>62</v>
      </c>
      <c r="H10" s="10" t="s">
        <v>63</v>
      </c>
      <c r="I10" s="12" t="s">
        <v>11</v>
      </c>
      <c r="J10" s="12"/>
      <c r="K10" s="12"/>
      <c r="L10" s="12"/>
    </row>
    <row r="11" customFormat="false" ht="35.05" hidden="false" customHeight="false" outlineLevel="0" collapsed="false">
      <c r="A11" s="10" t="s">
        <v>64</v>
      </c>
      <c r="B11" s="10" t="s">
        <v>13</v>
      </c>
      <c r="C11" s="13" t="s">
        <v>5</v>
      </c>
      <c r="D11" s="10" t="s">
        <v>51</v>
      </c>
      <c r="E11" s="10" t="s">
        <v>65</v>
      </c>
      <c r="F11" s="10"/>
      <c r="G11" s="10" t="s">
        <v>66</v>
      </c>
      <c r="H11" s="10" t="s">
        <v>67</v>
      </c>
      <c r="I11" s="12" t="s">
        <v>11</v>
      </c>
      <c r="J11" s="12"/>
      <c r="K11" s="12"/>
      <c r="L11" s="12"/>
    </row>
    <row r="12" customFormat="false" ht="35.05" hidden="false" customHeight="false" outlineLevel="0" collapsed="false">
      <c r="A12" s="10" t="s">
        <v>68</v>
      </c>
      <c r="B12" s="10" t="s">
        <v>13</v>
      </c>
      <c r="C12" s="13" t="s">
        <v>5</v>
      </c>
      <c r="D12" s="10" t="s">
        <v>6</v>
      </c>
      <c r="E12" s="10" t="s">
        <v>69</v>
      </c>
      <c r="F12" s="10"/>
      <c r="G12" s="10" t="s">
        <v>70</v>
      </c>
      <c r="H12" s="10" t="s">
        <v>71</v>
      </c>
      <c r="I12" s="12" t="s">
        <v>11</v>
      </c>
      <c r="J12" s="12"/>
      <c r="K12" s="12"/>
      <c r="L12" s="12"/>
    </row>
    <row r="13" customFormat="false" ht="23.85" hidden="false" customHeight="false" outlineLevel="0" collapsed="false">
      <c r="A13" s="10" t="s">
        <v>72</v>
      </c>
      <c r="B13" s="10" t="s">
        <v>13</v>
      </c>
      <c r="C13" s="13" t="s">
        <v>5</v>
      </c>
      <c r="D13" s="10" t="s">
        <v>6</v>
      </c>
      <c r="E13" s="10" t="s">
        <v>73</v>
      </c>
      <c r="F13" s="10" t="s">
        <v>74</v>
      </c>
      <c r="G13" s="10" t="s">
        <v>75</v>
      </c>
      <c r="H13" s="10" t="s">
        <v>76</v>
      </c>
      <c r="I13" s="12" t="s">
        <v>11</v>
      </c>
      <c r="J13" s="12"/>
      <c r="K13" s="12"/>
      <c r="L13" s="12"/>
    </row>
    <row r="14" customFormat="false" ht="23.85" hidden="false" customHeight="false" outlineLevel="0" collapsed="false">
      <c r="A14" s="10" t="s">
        <v>77</v>
      </c>
      <c r="B14" s="10" t="s">
        <v>13</v>
      </c>
      <c r="C14" s="13" t="s">
        <v>5</v>
      </c>
      <c r="D14" s="10" t="s">
        <v>6</v>
      </c>
      <c r="E14" s="10" t="s">
        <v>78</v>
      </c>
      <c r="F14" s="10" t="s">
        <v>79</v>
      </c>
      <c r="G14" s="10" t="s">
        <v>80</v>
      </c>
      <c r="H14" s="10" t="s">
        <v>81</v>
      </c>
      <c r="I14" s="12" t="s">
        <v>11</v>
      </c>
      <c r="J14" s="12"/>
      <c r="K14" s="12"/>
      <c r="L14" s="12"/>
    </row>
    <row r="15" customFormat="false" ht="23.85" hidden="false" customHeight="false" outlineLevel="0" collapsed="false">
      <c r="A15" s="10" t="s">
        <v>82</v>
      </c>
      <c r="B15" s="10" t="s">
        <v>13</v>
      </c>
      <c r="C15" s="11" t="s">
        <v>3</v>
      </c>
      <c r="D15" s="10" t="s">
        <v>51</v>
      </c>
      <c r="E15" s="10" t="s">
        <v>83</v>
      </c>
      <c r="F15" s="10" t="s">
        <v>84</v>
      </c>
      <c r="G15" s="10" t="s">
        <v>85</v>
      </c>
      <c r="H15" s="10" t="s">
        <v>86</v>
      </c>
      <c r="I15" s="12" t="s">
        <v>11</v>
      </c>
      <c r="J15" s="12"/>
      <c r="K15" s="12"/>
      <c r="L15" s="12"/>
    </row>
    <row r="16" customFormat="false" ht="35.05" hidden="false" customHeight="false" outlineLevel="0" collapsed="false">
      <c r="A16" s="10" t="s">
        <v>87</v>
      </c>
      <c r="B16" s="10" t="s">
        <v>13</v>
      </c>
      <c r="C16" s="11" t="s">
        <v>3</v>
      </c>
      <c r="D16" s="10" t="s">
        <v>88</v>
      </c>
      <c r="E16" s="10" t="s">
        <v>89</v>
      </c>
      <c r="F16" s="10" t="s">
        <v>90</v>
      </c>
      <c r="G16" s="10" t="s">
        <v>91</v>
      </c>
      <c r="H16" s="10" t="s">
        <v>92</v>
      </c>
      <c r="I16" s="12" t="s">
        <v>11</v>
      </c>
      <c r="J16" s="12"/>
      <c r="K16" s="12"/>
      <c r="L16" s="12"/>
    </row>
    <row r="17" customFormat="false" ht="35.05" hidden="false" customHeight="false" outlineLevel="0" collapsed="false">
      <c r="A17" s="10" t="s">
        <v>93</v>
      </c>
      <c r="B17" s="10" t="s">
        <v>13</v>
      </c>
      <c r="C17" s="13" t="s">
        <v>5</v>
      </c>
      <c r="D17" s="10" t="s">
        <v>6</v>
      </c>
      <c r="E17" s="10" t="s">
        <v>94</v>
      </c>
      <c r="F17" s="10" t="s">
        <v>95</v>
      </c>
      <c r="G17" s="10" t="s">
        <v>96</v>
      </c>
      <c r="H17" s="10" t="s">
        <v>97</v>
      </c>
      <c r="I17" s="12" t="s">
        <v>11</v>
      </c>
      <c r="J17" s="12"/>
      <c r="K17" s="12"/>
      <c r="L17" s="12"/>
    </row>
    <row r="18" customFormat="false" ht="35.05" hidden="false" customHeight="false" outlineLevel="0" collapsed="false">
      <c r="A18" s="10" t="s">
        <v>98</v>
      </c>
      <c r="B18" s="10" t="s">
        <v>13</v>
      </c>
      <c r="C18" s="13" t="s">
        <v>5</v>
      </c>
      <c r="D18" s="10" t="s">
        <v>51</v>
      </c>
      <c r="E18" s="10" t="s">
        <v>99</v>
      </c>
      <c r="F18" s="10"/>
      <c r="G18" s="10" t="s">
        <v>100</v>
      </c>
      <c r="H18" s="10" t="s">
        <v>101</v>
      </c>
      <c r="I18" s="12" t="s">
        <v>11</v>
      </c>
      <c r="J18" s="12"/>
      <c r="K18" s="12"/>
      <c r="L18" s="12"/>
    </row>
    <row r="19" customFormat="false" ht="35.05" hidden="false" customHeight="false" outlineLevel="0" collapsed="false">
      <c r="A19" s="10" t="s">
        <v>102</v>
      </c>
      <c r="B19" s="10" t="s">
        <v>13</v>
      </c>
      <c r="C19" s="13" t="s">
        <v>5</v>
      </c>
      <c r="D19" s="10" t="s">
        <v>51</v>
      </c>
      <c r="E19" s="10" t="s">
        <v>103</v>
      </c>
      <c r="F19" s="10"/>
      <c r="G19" s="10" t="s">
        <v>104</v>
      </c>
      <c r="H19" s="10" t="s">
        <v>105</v>
      </c>
      <c r="I19" s="12" t="s">
        <v>11</v>
      </c>
      <c r="J19" s="12"/>
      <c r="K19" s="12"/>
      <c r="L19" s="12"/>
    </row>
    <row r="20" customFormat="false" ht="23.85" hidden="false" customHeight="false" outlineLevel="0" collapsed="false">
      <c r="A20" s="10" t="s">
        <v>106</v>
      </c>
      <c r="B20" s="10" t="s">
        <v>13</v>
      </c>
      <c r="C20" s="14" t="s">
        <v>4</v>
      </c>
      <c r="D20" s="10" t="s">
        <v>51</v>
      </c>
      <c r="E20" s="10" t="s">
        <v>107</v>
      </c>
      <c r="F20" s="10"/>
      <c r="G20" s="10" t="s">
        <v>108</v>
      </c>
      <c r="H20" s="10" t="s">
        <v>109</v>
      </c>
      <c r="I20" s="12" t="s">
        <v>11</v>
      </c>
      <c r="J20" s="12"/>
      <c r="K20" s="12"/>
      <c r="L20" s="12"/>
    </row>
    <row r="21" customFormat="false" ht="23.85" hidden="false" customHeight="false" outlineLevel="0" collapsed="false">
      <c r="A21" s="10" t="s">
        <v>110</v>
      </c>
      <c r="B21" s="10" t="s">
        <v>14</v>
      </c>
      <c r="C21" s="11" t="s">
        <v>3</v>
      </c>
      <c r="D21" s="10" t="s">
        <v>6</v>
      </c>
      <c r="E21" s="10" t="s">
        <v>111</v>
      </c>
      <c r="F21" s="10" t="s">
        <v>112</v>
      </c>
      <c r="G21" s="10" t="s">
        <v>113</v>
      </c>
      <c r="H21" s="10" t="s">
        <v>114</v>
      </c>
      <c r="I21" s="12" t="s">
        <v>11</v>
      </c>
      <c r="J21" s="12"/>
      <c r="K21" s="12"/>
      <c r="L21" s="12"/>
    </row>
    <row r="22" customFormat="false" ht="35.05" hidden="false" customHeight="false" outlineLevel="0" collapsed="false">
      <c r="A22" s="10" t="s">
        <v>115</v>
      </c>
      <c r="B22" s="10" t="s">
        <v>14</v>
      </c>
      <c r="C22" s="11" t="s">
        <v>3</v>
      </c>
      <c r="D22" s="10" t="s">
        <v>6</v>
      </c>
      <c r="E22" s="10" t="s">
        <v>116</v>
      </c>
      <c r="F22" s="10" t="s">
        <v>117</v>
      </c>
      <c r="G22" s="10" t="s">
        <v>118</v>
      </c>
      <c r="H22" s="10" t="s">
        <v>119</v>
      </c>
      <c r="I22" s="12" t="s">
        <v>11</v>
      </c>
      <c r="J22" s="12"/>
      <c r="K22" s="12"/>
      <c r="L22" s="12"/>
    </row>
    <row r="23" customFormat="false" ht="35.05" hidden="false" customHeight="false" outlineLevel="0" collapsed="false">
      <c r="A23" s="10" t="s">
        <v>120</v>
      </c>
      <c r="B23" s="10" t="s">
        <v>14</v>
      </c>
      <c r="C23" s="11" t="s">
        <v>3</v>
      </c>
      <c r="D23" s="10" t="s">
        <v>51</v>
      </c>
      <c r="E23" s="10" t="s">
        <v>121</v>
      </c>
      <c r="F23" s="10"/>
      <c r="G23" s="10" t="s">
        <v>122</v>
      </c>
      <c r="H23" s="10" t="s">
        <v>123</v>
      </c>
      <c r="I23" s="12" t="s">
        <v>11</v>
      </c>
      <c r="J23" s="12"/>
      <c r="K23" s="12"/>
      <c r="L23" s="12"/>
    </row>
    <row r="24" customFormat="false" ht="23.85" hidden="false" customHeight="false" outlineLevel="0" collapsed="false">
      <c r="A24" s="10" t="s">
        <v>124</v>
      </c>
      <c r="B24" s="10" t="s">
        <v>14</v>
      </c>
      <c r="C24" s="13" t="s">
        <v>5</v>
      </c>
      <c r="D24" s="10" t="s">
        <v>51</v>
      </c>
      <c r="E24" s="10" t="s">
        <v>125</v>
      </c>
      <c r="F24" s="10"/>
      <c r="G24" s="10" t="s">
        <v>126</v>
      </c>
      <c r="H24" s="10" t="s">
        <v>127</v>
      </c>
      <c r="I24" s="12" t="s">
        <v>11</v>
      </c>
      <c r="J24" s="12"/>
      <c r="K24" s="12"/>
      <c r="L24" s="12"/>
    </row>
    <row r="25" customFormat="false" ht="35.05" hidden="false" customHeight="false" outlineLevel="0" collapsed="false">
      <c r="A25" s="10" t="s">
        <v>128</v>
      </c>
      <c r="B25" s="10" t="s">
        <v>14</v>
      </c>
      <c r="C25" s="11" t="s">
        <v>3</v>
      </c>
      <c r="D25" s="10" t="s">
        <v>51</v>
      </c>
      <c r="E25" s="10" t="s">
        <v>129</v>
      </c>
      <c r="F25" s="10"/>
      <c r="G25" s="10" t="s">
        <v>130</v>
      </c>
      <c r="H25" s="10" t="s">
        <v>131</v>
      </c>
      <c r="I25" s="12" t="s">
        <v>11</v>
      </c>
      <c r="J25" s="12"/>
      <c r="K25" s="12"/>
      <c r="L25" s="12"/>
    </row>
    <row r="26" customFormat="false" ht="23.85" hidden="false" customHeight="false" outlineLevel="0" collapsed="false">
      <c r="A26" s="10" t="s">
        <v>132</v>
      </c>
      <c r="B26" s="10" t="s">
        <v>14</v>
      </c>
      <c r="C26" s="11" t="s">
        <v>3</v>
      </c>
      <c r="D26" s="10" t="s">
        <v>51</v>
      </c>
      <c r="E26" s="10" t="s">
        <v>133</v>
      </c>
      <c r="F26" s="10" t="s">
        <v>134</v>
      </c>
      <c r="G26" s="10" t="s">
        <v>135</v>
      </c>
      <c r="H26" s="10" t="s">
        <v>136</v>
      </c>
      <c r="I26" s="12" t="s">
        <v>11</v>
      </c>
      <c r="J26" s="12"/>
      <c r="K26" s="12"/>
      <c r="L26" s="12"/>
    </row>
    <row r="27" customFormat="false" ht="23.85" hidden="false" customHeight="false" outlineLevel="0" collapsed="false">
      <c r="A27" s="10" t="s">
        <v>137</v>
      </c>
      <c r="B27" s="10" t="s">
        <v>14</v>
      </c>
      <c r="C27" s="13" t="s">
        <v>5</v>
      </c>
      <c r="D27" s="10" t="s">
        <v>51</v>
      </c>
      <c r="E27" s="10" t="s">
        <v>138</v>
      </c>
      <c r="F27" s="10"/>
      <c r="G27" s="10" t="s">
        <v>139</v>
      </c>
      <c r="H27" s="10" t="s">
        <v>140</v>
      </c>
      <c r="I27" s="12" t="s">
        <v>11</v>
      </c>
      <c r="J27" s="12"/>
      <c r="K27" s="12"/>
      <c r="L27" s="12"/>
    </row>
    <row r="28" customFormat="false" ht="46.25" hidden="false" customHeight="false" outlineLevel="0" collapsed="false">
      <c r="A28" s="10" t="s">
        <v>141</v>
      </c>
      <c r="B28" s="10" t="s">
        <v>14</v>
      </c>
      <c r="C28" s="11" t="s">
        <v>3</v>
      </c>
      <c r="D28" s="10" t="s">
        <v>51</v>
      </c>
      <c r="E28" s="10" t="s">
        <v>142</v>
      </c>
      <c r="F28" s="10" t="s">
        <v>143</v>
      </c>
      <c r="G28" s="10" t="s">
        <v>144</v>
      </c>
      <c r="H28" s="10" t="s">
        <v>145</v>
      </c>
      <c r="I28" s="12" t="s">
        <v>11</v>
      </c>
      <c r="J28" s="12"/>
      <c r="K28" s="12"/>
      <c r="L28" s="12"/>
    </row>
    <row r="29" customFormat="false" ht="23.85" hidden="false" customHeight="false" outlineLevel="0" collapsed="false">
      <c r="A29" s="10" t="s">
        <v>146</v>
      </c>
      <c r="B29" s="10" t="s">
        <v>14</v>
      </c>
      <c r="C29" s="13" t="s">
        <v>5</v>
      </c>
      <c r="D29" s="10" t="s">
        <v>88</v>
      </c>
      <c r="E29" s="10" t="s">
        <v>147</v>
      </c>
      <c r="F29" s="10"/>
      <c r="G29" s="10" t="s">
        <v>148</v>
      </c>
      <c r="H29" s="10" t="s">
        <v>149</v>
      </c>
      <c r="I29" s="12" t="s">
        <v>11</v>
      </c>
      <c r="J29" s="12"/>
      <c r="K29" s="12"/>
      <c r="L29" s="12"/>
    </row>
    <row r="30" customFormat="false" ht="23.85" hidden="false" customHeight="false" outlineLevel="0" collapsed="false">
      <c r="A30" s="10" t="s">
        <v>150</v>
      </c>
      <c r="B30" s="10" t="s">
        <v>14</v>
      </c>
      <c r="C30" s="13" t="s">
        <v>5</v>
      </c>
      <c r="D30" s="10" t="s">
        <v>51</v>
      </c>
      <c r="E30" s="10" t="s">
        <v>151</v>
      </c>
      <c r="F30" s="10"/>
      <c r="G30" s="10" t="s">
        <v>152</v>
      </c>
      <c r="H30" s="10" t="s">
        <v>153</v>
      </c>
      <c r="I30" s="12" t="s">
        <v>11</v>
      </c>
      <c r="J30" s="12"/>
      <c r="K30" s="12"/>
      <c r="L30" s="12"/>
    </row>
    <row r="31" customFormat="false" ht="23.85" hidden="false" customHeight="false" outlineLevel="0" collapsed="false">
      <c r="A31" s="10" t="s">
        <v>154</v>
      </c>
      <c r="B31" s="10" t="s">
        <v>14</v>
      </c>
      <c r="C31" s="11" t="s">
        <v>3</v>
      </c>
      <c r="D31" s="10" t="s">
        <v>51</v>
      </c>
      <c r="E31" s="10" t="s">
        <v>155</v>
      </c>
      <c r="F31" s="10" t="s">
        <v>156</v>
      </c>
      <c r="G31" s="10" t="s">
        <v>157</v>
      </c>
      <c r="H31" s="10" t="s">
        <v>158</v>
      </c>
      <c r="I31" s="12" t="s">
        <v>11</v>
      </c>
      <c r="J31" s="12"/>
      <c r="K31" s="12"/>
      <c r="L31" s="12"/>
    </row>
    <row r="32" customFormat="false" ht="23.85" hidden="false" customHeight="false" outlineLevel="0" collapsed="false">
      <c r="A32" s="10" t="s">
        <v>159</v>
      </c>
      <c r="B32" s="10" t="s">
        <v>14</v>
      </c>
      <c r="C32" s="11" t="s">
        <v>3</v>
      </c>
      <c r="D32" s="10" t="s">
        <v>51</v>
      </c>
      <c r="E32" s="10" t="s">
        <v>160</v>
      </c>
      <c r="F32" s="10"/>
      <c r="G32" s="10" t="s">
        <v>161</v>
      </c>
      <c r="H32" s="10" t="s">
        <v>162</v>
      </c>
      <c r="I32" s="12" t="s">
        <v>11</v>
      </c>
      <c r="J32" s="12"/>
      <c r="K32" s="12"/>
      <c r="L32" s="12"/>
    </row>
    <row r="33" customFormat="false" ht="23.85" hidden="false" customHeight="false" outlineLevel="0" collapsed="false">
      <c r="A33" s="10" t="s">
        <v>163</v>
      </c>
      <c r="B33" s="10" t="s">
        <v>14</v>
      </c>
      <c r="C33" s="13" t="s">
        <v>5</v>
      </c>
      <c r="D33" s="10" t="s">
        <v>88</v>
      </c>
      <c r="E33" s="10" t="s">
        <v>164</v>
      </c>
      <c r="F33" s="10" t="s">
        <v>165</v>
      </c>
      <c r="G33" s="10" t="s">
        <v>166</v>
      </c>
      <c r="H33" s="10" t="s">
        <v>167</v>
      </c>
      <c r="I33" s="12" t="s">
        <v>11</v>
      </c>
      <c r="J33" s="12"/>
      <c r="K33" s="12"/>
      <c r="L33" s="12"/>
    </row>
    <row r="34" customFormat="false" ht="23.85" hidden="false" customHeight="false" outlineLevel="0" collapsed="false">
      <c r="A34" s="10" t="s">
        <v>168</v>
      </c>
      <c r="B34" s="10" t="s">
        <v>14</v>
      </c>
      <c r="C34" s="11" t="s">
        <v>3</v>
      </c>
      <c r="D34" s="10" t="s">
        <v>51</v>
      </c>
      <c r="E34" s="10" t="s">
        <v>169</v>
      </c>
      <c r="F34" s="10" t="s">
        <v>170</v>
      </c>
      <c r="G34" s="10" t="s">
        <v>171</v>
      </c>
      <c r="H34" s="10" t="s">
        <v>172</v>
      </c>
      <c r="I34" s="12" t="s">
        <v>11</v>
      </c>
      <c r="J34" s="12"/>
      <c r="K34" s="12"/>
      <c r="L34" s="12"/>
    </row>
    <row r="35" customFormat="false" ht="23.85" hidden="false" customHeight="false" outlineLevel="0" collapsed="false">
      <c r="A35" s="10" t="s">
        <v>173</v>
      </c>
      <c r="B35" s="10" t="s">
        <v>14</v>
      </c>
      <c r="C35" s="13" t="s">
        <v>5</v>
      </c>
      <c r="D35" s="10" t="s">
        <v>88</v>
      </c>
      <c r="E35" s="10" t="s">
        <v>174</v>
      </c>
      <c r="F35" s="10"/>
      <c r="G35" s="10" t="s">
        <v>175</v>
      </c>
      <c r="H35" s="10" t="s">
        <v>176</v>
      </c>
      <c r="I35" s="12" t="s">
        <v>11</v>
      </c>
      <c r="J35" s="12"/>
      <c r="K35" s="12"/>
      <c r="L35" s="12"/>
    </row>
    <row r="36" customFormat="false" ht="46.25" hidden="false" customHeight="false" outlineLevel="0" collapsed="false">
      <c r="A36" s="10" t="s">
        <v>177</v>
      </c>
      <c r="B36" s="10" t="s">
        <v>15</v>
      </c>
      <c r="C36" s="11" t="s">
        <v>3</v>
      </c>
      <c r="D36" s="10" t="s">
        <v>6</v>
      </c>
      <c r="E36" s="10" t="s">
        <v>178</v>
      </c>
      <c r="F36" s="10" t="s">
        <v>179</v>
      </c>
      <c r="G36" s="10" t="s">
        <v>180</v>
      </c>
      <c r="H36" s="10" t="s">
        <v>181</v>
      </c>
      <c r="I36" s="12" t="s">
        <v>11</v>
      </c>
      <c r="J36" s="12"/>
      <c r="K36" s="12"/>
      <c r="L36" s="12"/>
    </row>
    <row r="37" customFormat="false" ht="15" hidden="false" customHeight="false" outlineLevel="0" collapsed="false">
      <c r="A37" s="10" t="s">
        <v>182</v>
      </c>
      <c r="B37" s="10" t="s">
        <v>15</v>
      </c>
      <c r="C37" s="14" t="s">
        <v>4</v>
      </c>
      <c r="D37" s="10" t="s">
        <v>51</v>
      </c>
      <c r="E37" s="10" t="s">
        <v>183</v>
      </c>
      <c r="F37" s="10"/>
      <c r="G37" s="10" t="s">
        <v>184</v>
      </c>
      <c r="H37" s="10" t="s">
        <v>185</v>
      </c>
      <c r="I37" s="12" t="s">
        <v>11</v>
      </c>
      <c r="J37" s="12"/>
      <c r="K37" s="12"/>
      <c r="L37" s="12"/>
    </row>
    <row r="38" customFormat="false" ht="23.85" hidden="false" customHeight="false" outlineLevel="0" collapsed="false">
      <c r="A38" s="10" t="s">
        <v>186</v>
      </c>
      <c r="B38" s="10" t="s">
        <v>15</v>
      </c>
      <c r="C38" s="14" t="s">
        <v>4</v>
      </c>
      <c r="D38" s="10" t="s">
        <v>6</v>
      </c>
      <c r="E38" s="10" t="s">
        <v>187</v>
      </c>
      <c r="F38" s="10" t="s">
        <v>188</v>
      </c>
      <c r="G38" s="10" t="s">
        <v>189</v>
      </c>
      <c r="H38" s="10" t="s">
        <v>190</v>
      </c>
      <c r="I38" s="12" t="s">
        <v>11</v>
      </c>
      <c r="J38" s="12"/>
      <c r="K38" s="12"/>
      <c r="L38" s="12"/>
    </row>
    <row r="39" customFormat="false" ht="23.85" hidden="false" customHeight="false" outlineLevel="0" collapsed="false">
      <c r="A39" s="10" t="s">
        <v>191</v>
      </c>
      <c r="B39" s="10" t="s">
        <v>15</v>
      </c>
      <c r="C39" s="14" t="s">
        <v>4</v>
      </c>
      <c r="D39" s="10" t="s">
        <v>6</v>
      </c>
      <c r="E39" s="10" t="s">
        <v>192</v>
      </c>
      <c r="F39" s="10" t="s">
        <v>193</v>
      </c>
      <c r="G39" s="10" t="s">
        <v>189</v>
      </c>
      <c r="H39" s="10" t="s">
        <v>194</v>
      </c>
      <c r="I39" s="12" t="s">
        <v>11</v>
      </c>
      <c r="J39" s="12"/>
      <c r="K39" s="12"/>
      <c r="L39" s="12"/>
    </row>
    <row r="40" customFormat="false" ht="23.85" hidden="false" customHeight="false" outlineLevel="0" collapsed="false">
      <c r="A40" s="10" t="s">
        <v>195</v>
      </c>
      <c r="B40" s="10" t="s">
        <v>15</v>
      </c>
      <c r="C40" s="14" t="s">
        <v>4</v>
      </c>
      <c r="D40" s="10" t="s">
        <v>6</v>
      </c>
      <c r="E40" s="10" t="s">
        <v>196</v>
      </c>
      <c r="F40" s="10" t="s">
        <v>197</v>
      </c>
      <c r="G40" s="10" t="s">
        <v>198</v>
      </c>
      <c r="H40" s="10" t="s">
        <v>199</v>
      </c>
      <c r="I40" s="12" t="s">
        <v>11</v>
      </c>
      <c r="J40" s="12"/>
      <c r="K40" s="12"/>
      <c r="L40" s="12"/>
    </row>
    <row r="41" customFormat="false" ht="23.85" hidden="false" customHeight="false" outlineLevel="0" collapsed="false">
      <c r="A41" s="10" t="s">
        <v>200</v>
      </c>
      <c r="B41" s="10" t="s">
        <v>15</v>
      </c>
      <c r="C41" s="14" t="s">
        <v>4</v>
      </c>
      <c r="D41" s="10" t="s">
        <v>6</v>
      </c>
      <c r="E41" s="10" t="s">
        <v>201</v>
      </c>
      <c r="F41" s="10" t="s">
        <v>202</v>
      </c>
      <c r="G41" s="10" t="s">
        <v>203</v>
      </c>
      <c r="H41" s="10" t="s">
        <v>204</v>
      </c>
      <c r="I41" s="12" t="s">
        <v>11</v>
      </c>
      <c r="J41" s="12"/>
      <c r="K41" s="12"/>
      <c r="L41" s="12"/>
    </row>
    <row r="42" customFormat="false" ht="23.85" hidden="false" customHeight="false" outlineLevel="0" collapsed="false">
      <c r="A42" s="10" t="s">
        <v>205</v>
      </c>
      <c r="B42" s="10" t="s">
        <v>15</v>
      </c>
      <c r="C42" s="13" t="s">
        <v>5</v>
      </c>
      <c r="D42" s="10" t="s">
        <v>6</v>
      </c>
      <c r="E42" s="10" t="s">
        <v>206</v>
      </c>
      <c r="F42" s="10" t="s">
        <v>207</v>
      </c>
      <c r="G42" s="10" t="s">
        <v>203</v>
      </c>
      <c r="H42" s="10" t="s">
        <v>208</v>
      </c>
      <c r="I42" s="12" t="s">
        <v>11</v>
      </c>
      <c r="J42" s="12"/>
      <c r="K42" s="12"/>
      <c r="L42" s="12"/>
    </row>
    <row r="43" customFormat="false" ht="23.85" hidden="false" customHeight="false" outlineLevel="0" collapsed="false">
      <c r="A43" s="10" t="s">
        <v>209</v>
      </c>
      <c r="B43" s="10" t="s">
        <v>15</v>
      </c>
      <c r="C43" s="13" t="s">
        <v>5</v>
      </c>
      <c r="D43" s="10" t="s">
        <v>6</v>
      </c>
      <c r="E43" s="10" t="s">
        <v>210</v>
      </c>
      <c r="F43" s="10" t="s">
        <v>211</v>
      </c>
      <c r="G43" s="10" t="s">
        <v>212</v>
      </c>
      <c r="H43" s="10" t="s">
        <v>213</v>
      </c>
      <c r="I43" s="12" t="s">
        <v>11</v>
      </c>
      <c r="J43" s="12"/>
      <c r="K43" s="12"/>
      <c r="L43" s="12"/>
    </row>
    <row r="44" customFormat="false" ht="35.05" hidden="false" customHeight="false" outlineLevel="0" collapsed="false">
      <c r="A44" s="10" t="s">
        <v>214</v>
      </c>
      <c r="B44" s="10" t="s">
        <v>15</v>
      </c>
      <c r="C44" s="11" t="s">
        <v>3</v>
      </c>
      <c r="D44" s="10" t="s">
        <v>6</v>
      </c>
      <c r="E44" s="10" t="s">
        <v>215</v>
      </c>
      <c r="F44" s="10" t="s">
        <v>216</v>
      </c>
      <c r="G44" s="10" t="s">
        <v>217</v>
      </c>
      <c r="H44" s="10" t="s">
        <v>218</v>
      </c>
      <c r="I44" s="12" t="s">
        <v>11</v>
      </c>
      <c r="J44" s="12"/>
      <c r="K44" s="12"/>
      <c r="L44" s="12"/>
    </row>
    <row r="45" customFormat="false" ht="23.85" hidden="false" customHeight="false" outlineLevel="0" collapsed="false">
      <c r="A45" s="10" t="s">
        <v>219</v>
      </c>
      <c r="B45" s="10" t="s">
        <v>15</v>
      </c>
      <c r="C45" s="13" t="s">
        <v>5</v>
      </c>
      <c r="D45" s="10" t="s">
        <v>6</v>
      </c>
      <c r="E45" s="10" t="s">
        <v>220</v>
      </c>
      <c r="F45" s="10" t="s">
        <v>221</v>
      </c>
      <c r="G45" s="10" t="s">
        <v>222</v>
      </c>
      <c r="H45" s="10" t="s">
        <v>223</v>
      </c>
      <c r="I45" s="12" t="s">
        <v>11</v>
      </c>
      <c r="J45" s="12"/>
      <c r="K45" s="12"/>
      <c r="L45" s="12"/>
    </row>
    <row r="46" customFormat="false" ht="23.85" hidden="false" customHeight="false" outlineLevel="0" collapsed="false">
      <c r="A46" s="10" t="s">
        <v>224</v>
      </c>
      <c r="B46" s="10" t="s">
        <v>15</v>
      </c>
      <c r="C46" s="13" t="s">
        <v>5</v>
      </c>
      <c r="D46" s="10" t="s">
        <v>6</v>
      </c>
      <c r="E46" s="10" t="s">
        <v>225</v>
      </c>
      <c r="F46" s="10" t="s">
        <v>226</v>
      </c>
      <c r="G46" s="10" t="s">
        <v>227</v>
      </c>
      <c r="H46" s="10" t="s">
        <v>228</v>
      </c>
      <c r="I46" s="12" t="s">
        <v>11</v>
      </c>
      <c r="J46" s="12"/>
      <c r="K46" s="12"/>
      <c r="L46" s="12"/>
    </row>
    <row r="47" customFormat="false" ht="23.85" hidden="false" customHeight="false" outlineLevel="0" collapsed="false">
      <c r="A47" s="10" t="s">
        <v>229</v>
      </c>
      <c r="B47" s="10" t="s">
        <v>15</v>
      </c>
      <c r="C47" s="13" t="s">
        <v>5</v>
      </c>
      <c r="D47" s="10" t="s">
        <v>6</v>
      </c>
      <c r="E47" s="10" t="s">
        <v>230</v>
      </c>
      <c r="F47" s="10" t="s">
        <v>226</v>
      </c>
      <c r="G47" s="10" t="s">
        <v>231</v>
      </c>
      <c r="H47" s="10" t="s">
        <v>232</v>
      </c>
      <c r="I47" s="12" t="s">
        <v>11</v>
      </c>
      <c r="J47" s="12"/>
      <c r="K47" s="12"/>
      <c r="L47" s="12"/>
    </row>
    <row r="48" customFormat="false" ht="15" hidden="false" customHeight="false" outlineLevel="0" collapsed="false">
      <c r="A48" s="10" t="s">
        <v>233</v>
      </c>
      <c r="B48" s="10" t="s">
        <v>15</v>
      </c>
      <c r="C48" s="13" t="s">
        <v>5</v>
      </c>
      <c r="D48" s="10" t="s">
        <v>51</v>
      </c>
      <c r="E48" s="10" t="s">
        <v>234</v>
      </c>
      <c r="F48" s="10" t="s">
        <v>226</v>
      </c>
      <c r="G48" s="10" t="s">
        <v>235</v>
      </c>
      <c r="H48" s="10" t="s">
        <v>236</v>
      </c>
      <c r="I48" s="12" t="s">
        <v>11</v>
      </c>
      <c r="J48" s="12"/>
      <c r="K48" s="12"/>
      <c r="L48" s="12"/>
    </row>
    <row r="49" customFormat="false" ht="23.85" hidden="false" customHeight="false" outlineLevel="0" collapsed="false">
      <c r="A49" s="10" t="s">
        <v>237</v>
      </c>
      <c r="B49" s="10" t="s">
        <v>15</v>
      </c>
      <c r="C49" s="14" t="s">
        <v>4</v>
      </c>
      <c r="D49" s="10" t="s">
        <v>6</v>
      </c>
      <c r="E49" s="10" t="s">
        <v>238</v>
      </c>
      <c r="F49" s="10"/>
      <c r="G49" s="10" t="s">
        <v>239</v>
      </c>
      <c r="H49" s="10" t="s">
        <v>240</v>
      </c>
      <c r="I49" s="12" t="s">
        <v>11</v>
      </c>
      <c r="J49" s="12"/>
      <c r="K49" s="12"/>
      <c r="L49" s="12"/>
    </row>
    <row r="50" customFormat="false" ht="15" hidden="false" customHeight="false" outlineLevel="0" collapsed="false">
      <c r="A50" s="10" t="s">
        <v>241</v>
      </c>
      <c r="B50" s="10" t="s">
        <v>15</v>
      </c>
      <c r="C50" s="13" t="s">
        <v>5</v>
      </c>
      <c r="D50" s="10" t="s">
        <v>51</v>
      </c>
      <c r="E50" s="10" t="s">
        <v>242</v>
      </c>
      <c r="F50" s="10" t="s">
        <v>243</v>
      </c>
      <c r="G50" s="10" t="s">
        <v>244</v>
      </c>
      <c r="H50" s="10" t="s">
        <v>245</v>
      </c>
      <c r="I50" s="12" t="s">
        <v>11</v>
      </c>
      <c r="J50" s="12"/>
      <c r="K50" s="12"/>
      <c r="L50" s="12"/>
    </row>
    <row r="51" customFormat="false" ht="23.85" hidden="false" customHeight="false" outlineLevel="0" collapsed="false">
      <c r="A51" s="10" t="s">
        <v>246</v>
      </c>
      <c r="B51" s="10" t="s">
        <v>15</v>
      </c>
      <c r="C51" s="13" t="s">
        <v>5</v>
      </c>
      <c r="D51" s="10" t="s">
        <v>6</v>
      </c>
      <c r="E51" s="10" t="s">
        <v>247</v>
      </c>
      <c r="F51" s="10" t="s">
        <v>226</v>
      </c>
      <c r="G51" s="10" t="s">
        <v>248</v>
      </c>
      <c r="H51" s="10" t="s">
        <v>249</v>
      </c>
      <c r="I51" s="12" t="s">
        <v>11</v>
      </c>
      <c r="J51" s="12"/>
      <c r="K51" s="12"/>
      <c r="L51" s="12"/>
    </row>
    <row r="52" customFormat="false" ht="23.85" hidden="false" customHeight="false" outlineLevel="0" collapsed="false">
      <c r="A52" s="10" t="s">
        <v>250</v>
      </c>
      <c r="B52" s="10" t="s">
        <v>15</v>
      </c>
      <c r="C52" s="13" t="s">
        <v>5</v>
      </c>
      <c r="D52" s="10" t="s">
        <v>6</v>
      </c>
      <c r="E52" s="10" t="s">
        <v>251</v>
      </c>
      <c r="F52" s="10" t="s">
        <v>252</v>
      </c>
      <c r="G52" s="10" t="s">
        <v>253</v>
      </c>
      <c r="H52" s="10" t="s">
        <v>254</v>
      </c>
      <c r="I52" s="12" t="s">
        <v>11</v>
      </c>
      <c r="J52" s="12"/>
      <c r="K52" s="12"/>
      <c r="L52" s="12"/>
    </row>
    <row r="53" customFormat="false" ht="15" hidden="false" customHeight="false" outlineLevel="0" collapsed="false">
      <c r="A53" s="10" t="s">
        <v>255</v>
      </c>
      <c r="B53" s="10" t="s">
        <v>15</v>
      </c>
      <c r="C53" s="13" t="s">
        <v>5</v>
      </c>
      <c r="D53" s="10" t="s">
        <v>6</v>
      </c>
      <c r="E53" s="10" t="s">
        <v>256</v>
      </c>
      <c r="F53" s="10" t="s">
        <v>252</v>
      </c>
      <c r="G53" s="10" t="s">
        <v>257</v>
      </c>
      <c r="H53" s="10" t="s">
        <v>258</v>
      </c>
      <c r="I53" s="12" t="s">
        <v>11</v>
      </c>
      <c r="J53" s="12"/>
      <c r="K53" s="12"/>
      <c r="L53" s="12"/>
    </row>
    <row r="54" customFormat="false" ht="23.85" hidden="false" customHeight="false" outlineLevel="0" collapsed="false">
      <c r="A54" s="10" t="s">
        <v>259</v>
      </c>
      <c r="B54" s="10" t="s">
        <v>15</v>
      </c>
      <c r="C54" s="14" t="s">
        <v>4</v>
      </c>
      <c r="D54" s="10" t="s">
        <v>6</v>
      </c>
      <c r="E54" s="10" t="s">
        <v>260</v>
      </c>
      <c r="F54" s="10" t="s">
        <v>261</v>
      </c>
      <c r="G54" s="10" t="s">
        <v>262</v>
      </c>
      <c r="H54" s="10" t="s">
        <v>263</v>
      </c>
      <c r="I54" s="12" t="s">
        <v>11</v>
      </c>
      <c r="J54" s="12"/>
      <c r="K54" s="12"/>
      <c r="L54" s="12"/>
    </row>
    <row r="55" customFormat="false" ht="23.85" hidden="false" customHeight="false" outlineLevel="0" collapsed="false">
      <c r="A55" s="10" t="s">
        <v>264</v>
      </c>
      <c r="B55" s="10" t="s">
        <v>15</v>
      </c>
      <c r="C55" s="13" t="s">
        <v>5</v>
      </c>
      <c r="D55" s="10" t="s">
        <v>6</v>
      </c>
      <c r="E55" s="10" t="s">
        <v>265</v>
      </c>
      <c r="F55" s="10"/>
      <c r="G55" s="10" t="s">
        <v>266</v>
      </c>
      <c r="H55" s="10" t="s">
        <v>267</v>
      </c>
      <c r="I55" s="12" t="s">
        <v>11</v>
      </c>
      <c r="J55" s="12"/>
      <c r="K55" s="12"/>
      <c r="L55" s="12"/>
    </row>
    <row r="56" customFormat="false" ht="15" hidden="false" customHeight="false" outlineLevel="0" collapsed="false">
      <c r="A56" s="10" t="s">
        <v>268</v>
      </c>
      <c r="B56" s="10" t="s">
        <v>15</v>
      </c>
      <c r="C56" s="11" t="s">
        <v>3</v>
      </c>
      <c r="D56" s="10" t="s">
        <v>6</v>
      </c>
      <c r="E56" s="10" t="s">
        <v>269</v>
      </c>
      <c r="F56" s="10" t="s">
        <v>270</v>
      </c>
      <c r="G56" s="10" t="s">
        <v>271</v>
      </c>
      <c r="H56" s="10" t="s">
        <v>272</v>
      </c>
      <c r="I56" s="12" t="s">
        <v>11</v>
      </c>
      <c r="J56" s="12"/>
      <c r="K56" s="12"/>
      <c r="L56" s="12"/>
    </row>
    <row r="57" customFormat="false" ht="23.85" hidden="false" customHeight="false" outlineLevel="0" collapsed="false">
      <c r="A57" s="10" t="s">
        <v>273</v>
      </c>
      <c r="B57" s="10" t="s">
        <v>15</v>
      </c>
      <c r="C57" s="11" t="s">
        <v>3</v>
      </c>
      <c r="D57" s="10" t="s">
        <v>51</v>
      </c>
      <c r="E57" s="10" t="s">
        <v>274</v>
      </c>
      <c r="F57" s="10" t="s">
        <v>275</v>
      </c>
      <c r="G57" s="10" t="s">
        <v>276</v>
      </c>
      <c r="H57" s="10" t="s">
        <v>277</v>
      </c>
      <c r="I57" s="12" t="s">
        <v>11</v>
      </c>
      <c r="J57" s="12"/>
      <c r="K57" s="12"/>
      <c r="L57" s="12"/>
    </row>
    <row r="58" customFormat="false" ht="15" hidden="false" customHeight="false" outlineLevel="0" collapsed="false">
      <c r="A58" s="10" t="s">
        <v>278</v>
      </c>
      <c r="B58" s="10" t="s">
        <v>15</v>
      </c>
      <c r="C58" s="13" t="s">
        <v>5</v>
      </c>
      <c r="D58" s="10" t="s">
        <v>51</v>
      </c>
      <c r="E58" s="10" t="s">
        <v>279</v>
      </c>
      <c r="F58" s="10" t="s">
        <v>280</v>
      </c>
      <c r="G58" s="10" t="s">
        <v>281</v>
      </c>
      <c r="H58" s="10" t="s">
        <v>282</v>
      </c>
      <c r="I58" s="12" t="s">
        <v>11</v>
      </c>
      <c r="J58" s="12"/>
      <c r="K58" s="12"/>
      <c r="L58" s="12"/>
    </row>
    <row r="59" customFormat="false" ht="15" hidden="false" customHeight="false" outlineLevel="0" collapsed="false">
      <c r="A59" s="10" t="s">
        <v>283</v>
      </c>
      <c r="B59" s="10" t="s">
        <v>15</v>
      </c>
      <c r="C59" s="13" t="s">
        <v>5</v>
      </c>
      <c r="D59" s="10" t="s">
        <v>51</v>
      </c>
      <c r="E59" s="10" t="s">
        <v>284</v>
      </c>
      <c r="F59" s="10" t="s">
        <v>285</v>
      </c>
      <c r="G59" s="10" t="s">
        <v>286</v>
      </c>
      <c r="H59" s="10" t="s">
        <v>287</v>
      </c>
      <c r="I59" s="12" t="s">
        <v>11</v>
      </c>
      <c r="J59" s="12"/>
      <c r="K59" s="12"/>
      <c r="L59" s="12"/>
    </row>
    <row r="60" customFormat="false" ht="35.05" hidden="false" customHeight="false" outlineLevel="0" collapsed="false">
      <c r="A60" s="10" t="s">
        <v>288</v>
      </c>
      <c r="B60" s="10" t="s">
        <v>15</v>
      </c>
      <c r="C60" s="13" t="s">
        <v>5</v>
      </c>
      <c r="D60" s="10" t="s">
        <v>6</v>
      </c>
      <c r="E60" s="10" t="s">
        <v>289</v>
      </c>
      <c r="F60" s="10" t="s">
        <v>290</v>
      </c>
      <c r="G60" s="10" t="s">
        <v>291</v>
      </c>
      <c r="H60" s="10" t="s">
        <v>292</v>
      </c>
      <c r="I60" s="12" t="s">
        <v>11</v>
      </c>
      <c r="J60" s="12"/>
      <c r="K60" s="12"/>
      <c r="L60" s="12"/>
    </row>
    <row r="61" customFormat="false" ht="23.85" hidden="false" customHeight="false" outlineLevel="0" collapsed="false">
      <c r="A61" s="10" t="s">
        <v>293</v>
      </c>
      <c r="B61" s="10" t="s">
        <v>15</v>
      </c>
      <c r="C61" s="13" t="s">
        <v>5</v>
      </c>
      <c r="D61" s="10" t="s">
        <v>51</v>
      </c>
      <c r="E61" s="10" t="s">
        <v>294</v>
      </c>
      <c r="F61" s="10" t="s">
        <v>216</v>
      </c>
      <c r="G61" s="10" t="s">
        <v>295</v>
      </c>
      <c r="H61" s="10" t="s">
        <v>296</v>
      </c>
      <c r="I61" s="12" t="s">
        <v>11</v>
      </c>
      <c r="J61" s="12"/>
      <c r="K61" s="12"/>
      <c r="L61" s="12"/>
    </row>
    <row r="62" customFormat="false" ht="35.05" hidden="false" customHeight="false" outlineLevel="0" collapsed="false">
      <c r="A62" s="10" t="s">
        <v>297</v>
      </c>
      <c r="B62" s="10" t="s">
        <v>15</v>
      </c>
      <c r="C62" s="11" t="s">
        <v>3</v>
      </c>
      <c r="D62" s="10" t="s">
        <v>51</v>
      </c>
      <c r="E62" s="10" t="s">
        <v>298</v>
      </c>
      <c r="F62" s="10" t="s">
        <v>299</v>
      </c>
      <c r="G62" s="10" t="s">
        <v>300</v>
      </c>
      <c r="H62" s="10" t="s">
        <v>301</v>
      </c>
      <c r="I62" s="12" t="s">
        <v>11</v>
      </c>
      <c r="J62" s="12"/>
      <c r="K62" s="12"/>
      <c r="L62" s="12"/>
    </row>
    <row r="63" customFormat="false" ht="35.05" hidden="false" customHeight="false" outlineLevel="0" collapsed="false">
      <c r="A63" s="10" t="s">
        <v>302</v>
      </c>
      <c r="B63" s="10" t="s">
        <v>15</v>
      </c>
      <c r="C63" s="13" t="s">
        <v>5</v>
      </c>
      <c r="D63" s="10" t="s">
        <v>51</v>
      </c>
      <c r="E63" s="10" t="s">
        <v>303</v>
      </c>
      <c r="F63" s="10" t="s">
        <v>304</v>
      </c>
      <c r="G63" s="10" t="s">
        <v>305</v>
      </c>
      <c r="H63" s="10" t="s">
        <v>306</v>
      </c>
      <c r="I63" s="12" t="s">
        <v>11</v>
      </c>
      <c r="J63" s="12"/>
      <c r="K63" s="12"/>
      <c r="L63" s="12"/>
    </row>
    <row r="64" customFormat="false" ht="23.85" hidden="false" customHeight="false" outlineLevel="0" collapsed="false">
      <c r="A64" s="10" t="s">
        <v>307</v>
      </c>
      <c r="B64" s="10" t="s">
        <v>15</v>
      </c>
      <c r="C64" s="11" t="s">
        <v>3</v>
      </c>
      <c r="D64" s="10" t="s">
        <v>51</v>
      </c>
      <c r="E64" s="10" t="s">
        <v>308</v>
      </c>
      <c r="F64" s="10"/>
      <c r="G64" s="10" t="s">
        <v>309</v>
      </c>
      <c r="H64" s="10" t="s">
        <v>310</v>
      </c>
      <c r="I64" s="12" t="s">
        <v>11</v>
      </c>
      <c r="J64" s="12"/>
      <c r="K64" s="12"/>
      <c r="L64" s="12"/>
    </row>
    <row r="65" customFormat="false" ht="35.05" hidden="false" customHeight="false" outlineLevel="0" collapsed="false">
      <c r="A65" s="10" t="s">
        <v>311</v>
      </c>
      <c r="B65" s="10" t="s">
        <v>16</v>
      </c>
      <c r="C65" s="11" t="s">
        <v>3</v>
      </c>
      <c r="D65" s="10" t="s">
        <v>6</v>
      </c>
      <c r="E65" s="10" t="s">
        <v>312</v>
      </c>
      <c r="F65" s="10" t="s">
        <v>226</v>
      </c>
      <c r="G65" s="10" t="s">
        <v>313</v>
      </c>
      <c r="H65" s="10" t="s">
        <v>314</v>
      </c>
      <c r="I65" s="12" t="s">
        <v>11</v>
      </c>
      <c r="J65" s="12"/>
      <c r="K65" s="12"/>
      <c r="L65" s="12"/>
    </row>
    <row r="66" customFormat="false" ht="23.85" hidden="false" customHeight="false" outlineLevel="0" collapsed="false">
      <c r="A66" s="10" t="s">
        <v>315</v>
      </c>
      <c r="B66" s="10" t="s">
        <v>16</v>
      </c>
      <c r="C66" s="11" t="s">
        <v>3</v>
      </c>
      <c r="D66" s="10" t="s">
        <v>6</v>
      </c>
      <c r="E66" s="10" t="s">
        <v>316</v>
      </c>
      <c r="F66" s="10"/>
      <c r="G66" s="10" t="s">
        <v>317</v>
      </c>
      <c r="H66" s="10" t="s">
        <v>318</v>
      </c>
      <c r="I66" s="12" t="s">
        <v>11</v>
      </c>
      <c r="J66" s="12"/>
      <c r="K66" s="12"/>
      <c r="L66" s="12"/>
    </row>
    <row r="67" customFormat="false" ht="23.85" hidden="false" customHeight="false" outlineLevel="0" collapsed="false">
      <c r="A67" s="10" t="s">
        <v>319</v>
      </c>
      <c r="B67" s="10" t="s">
        <v>16</v>
      </c>
      <c r="C67" s="14" t="s">
        <v>4</v>
      </c>
      <c r="D67" s="10" t="s">
        <v>6</v>
      </c>
      <c r="E67" s="10" t="s">
        <v>320</v>
      </c>
      <c r="F67" s="10" t="s">
        <v>321</v>
      </c>
      <c r="G67" s="10" t="s">
        <v>322</v>
      </c>
      <c r="H67" s="10" t="s">
        <v>323</v>
      </c>
      <c r="I67" s="12" t="s">
        <v>11</v>
      </c>
      <c r="J67" s="12"/>
      <c r="K67" s="12"/>
      <c r="L67" s="12"/>
    </row>
    <row r="68" customFormat="false" ht="23.85" hidden="false" customHeight="false" outlineLevel="0" collapsed="false">
      <c r="A68" s="10" t="s">
        <v>324</v>
      </c>
      <c r="B68" s="10" t="s">
        <v>16</v>
      </c>
      <c r="C68" s="13" t="s">
        <v>5</v>
      </c>
      <c r="D68" s="10" t="s">
        <v>6</v>
      </c>
      <c r="E68" s="10" t="s">
        <v>325</v>
      </c>
      <c r="F68" s="10"/>
      <c r="G68" s="10" t="s">
        <v>326</v>
      </c>
      <c r="H68" s="10" t="s">
        <v>327</v>
      </c>
      <c r="I68" s="12" t="s">
        <v>11</v>
      </c>
      <c r="J68" s="12"/>
      <c r="K68" s="12"/>
      <c r="L68" s="12"/>
    </row>
    <row r="69" customFormat="false" ht="23.85" hidden="false" customHeight="false" outlineLevel="0" collapsed="false">
      <c r="A69" s="10" t="s">
        <v>328</v>
      </c>
      <c r="B69" s="10" t="s">
        <v>16</v>
      </c>
      <c r="C69" s="13" t="s">
        <v>5</v>
      </c>
      <c r="D69" s="10" t="s">
        <v>6</v>
      </c>
      <c r="E69" s="10" t="s">
        <v>329</v>
      </c>
      <c r="F69" s="10" t="s">
        <v>330</v>
      </c>
      <c r="G69" s="10" t="s">
        <v>331</v>
      </c>
      <c r="H69" s="10" t="s">
        <v>332</v>
      </c>
      <c r="I69" s="12" t="s">
        <v>11</v>
      </c>
      <c r="J69" s="12"/>
      <c r="K69" s="12"/>
      <c r="L69" s="12"/>
    </row>
    <row r="70" customFormat="false" ht="23.85" hidden="false" customHeight="false" outlineLevel="0" collapsed="false">
      <c r="A70" s="10" t="s">
        <v>333</v>
      </c>
      <c r="B70" s="10" t="s">
        <v>16</v>
      </c>
      <c r="C70" s="13" t="s">
        <v>5</v>
      </c>
      <c r="D70" s="10" t="s">
        <v>6</v>
      </c>
      <c r="E70" s="10" t="s">
        <v>334</v>
      </c>
      <c r="F70" s="10" t="s">
        <v>335</v>
      </c>
      <c r="G70" s="10" t="s">
        <v>336</v>
      </c>
      <c r="H70" s="10" t="s">
        <v>337</v>
      </c>
      <c r="I70" s="12" t="s">
        <v>11</v>
      </c>
      <c r="J70" s="12"/>
      <c r="K70" s="12"/>
      <c r="L70" s="12"/>
    </row>
    <row r="71" customFormat="false" ht="23.85" hidden="false" customHeight="false" outlineLevel="0" collapsed="false">
      <c r="A71" s="10" t="s">
        <v>338</v>
      </c>
      <c r="B71" s="10" t="s">
        <v>16</v>
      </c>
      <c r="C71" s="13" t="s">
        <v>5</v>
      </c>
      <c r="D71" s="10" t="s">
        <v>51</v>
      </c>
      <c r="E71" s="10" t="s">
        <v>339</v>
      </c>
      <c r="F71" s="10"/>
      <c r="G71" s="10" t="s">
        <v>340</v>
      </c>
      <c r="H71" s="10" t="s">
        <v>341</v>
      </c>
      <c r="I71" s="12" t="s">
        <v>11</v>
      </c>
      <c r="J71" s="12"/>
      <c r="K71" s="12"/>
      <c r="L71" s="12"/>
    </row>
    <row r="72" customFormat="false" ht="23.85" hidden="false" customHeight="false" outlineLevel="0" collapsed="false">
      <c r="A72" s="10" t="s">
        <v>342</v>
      </c>
      <c r="B72" s="10" t="s">
        <v>16</v>
      </c>
      <c r="C72" s="13" t="s">
        <v>5</v>
      </c>
      <c r="D72" s="10" t="s">
        <v>51</v>
      </c>
      <c r="E72" s="10" t="s">
        <v>343</v>
      </c>
      <c r="F72" s="10"/>
      <c r="G72" s="10" t="s">
        <v>344</v>
      </c>
      <c r="H72" s="10" t="s">
        <v>345</v>
      </c>
      <c r="I72" s="12" t="s">
        <v>11</v>
      </c>
      <c r="J72" s="12"/>
      <c r="K72" s="12"/>
      <c r="L72" s="12"/>
    </row>
    <row r="73" customFormat="false" ht="35.05" hidden="false" customHeight="false" outlineLevel="0" collapsed="false">
      <c r="A73" s="10" t="s">
        <v>346</v>
      </c>
      <c r="B73" s="10" t="s">
        <v>17</v>
      </c>
      <c r="C73" s="11" t="s">
        <v>3</v>
      </c>
      <c r="D73" s="10" t="s">
        <v>6</v>
      </c>
      <c r="E73" s="10" t="s">
        <v>347</v>
      </c>
      <c r="F73" s="10" t="s">
        <v>348</v>
      </c>
      <c r="G73" s="10" t="s">
        <v>349</v>
      </c>
      <c r="H73" s="10" t="s">
        <v>350</v>
      </c>
      <c r="I73" s="12" t="s">
        <v>11</v>
      </c>
      <c r="J73" s="12"/>
      <c r="K73" s="12"/>
      <c r="L73" s="12"/>
    </row>
    <row r="74" customFormat="false" ht="23.85" hidden="false" customHeight="false" outlineLevel="0" collapsed="false">
      <c r="A74" s="10" t="s">
        <v>351</v>
      </c>
      <c r="B74" s="10" t="s">
        <v>17</v>
      </c>
      <c r="C74" s="11" t="s">
        <v>3</v>
      </c>
      <c r="D74" s="10" t="s">
        <v>6</v>
      </c>
      <c r="E74" s="10" t="s">
        <v>352</v>
      </c>
      <c r="F74" s="10" t="s">
        <v>353</v>
      </c>
      <c r="G74" s="10" t="s">
        <v>354</v>
      </c>
      <c r="H74" s="10" t="s">
        <v>355</v>
      </c>
      <c r="I74" s="12" t="s">
        <v>11</v>
      </c>
      <c r="J74" s="12"/>
      <c r="K74" s="12"/>
      <c r="L74" s="12"/>
    </row>
    <row r="75" customFormat="false" ht="15" hidden="false" customHeight="false" outlineLevel="0" collapsed="false">
      <c r="A75" s="10" t="s">
        <v>356</v>
      </c>
      <c r="B75" s="10" t="s">
        <v>17</v>
      </c>
      <c r="C75" s="14" t="s">
        <v>4</v>
      </c>
      <c r="D75" s="10" t="s">
        <v>6</v>
      </c>
      <c r="E75" s="10" t="s">
        <v>357</v>
      </c>
      <c r="F75" s="10"/>
      <c r="G75" s="10" t="s">
        <v>358</v>
      </c>
      <c r="H75" s="10" t="s">
        <v>359</v>
      </c>
      <c r="I75" s="12" t="s">
        <v>11</v>
      </c>
      <c r="J75" s="12"/>
      <c r="K75" s="12"/>
      <c r="L75" s="12"/>
    </row>
    <row r="76" customFormat="false" ht="15" hidden="false" customHeight="false" outlineLevel="0" collapsed="false">
      <c r="A76" s="10" t="s">
        <v>360</v>
      </c>
      <c r="B76" s="10" t="s">
        <v>17</v>
      </c>
      <c r="C76" s="14" t="s">
        <v>4</v>
      </c>
      <c r="D76" s="10" t="s">
        <v>6</v>
      </c>
      <c r="E76" s="10" t="s">
        <v>361</v>
      </c>
      <c r="F76" s="10" t="s">
        <v>362</v>
      </c>
      <c r="G76" s="10" t="s">
        <v>363</v>
      </c>
      <c r="H76" s="10" t="s">
        <v>364</v>
      </c>
      <c r="I76" s="12" t="s">
        <v>11</v>
      </c>
      <c r="J76" s="12"/>
      <c r="K76" s="12"/>
      <c r="L76" s="12"/>
    </row>
    <row r="77" customFormat="false" ht="15" hidden="false" customHeight="false" outlineLevel="0" collapsed="false">
      <c r="A77" s="10" t="s">
        <v>365</v>
      </c>
      <c r="B77" s="10" t="s">
        <v>17</v>
      </c>
      <c r="C77" s="14" t="s">
        <v>4</v>
      </c>
      <c r="D77" s="10" t="s">
        <v>51</v>
      </c>
      <c r="E77" s="10" t="s">
        <v>366</v>
      </c>
      <c r="F77" s="10"/>
      <c r="G77" s="10" t="s">
        <v>367</v>
      </c>
      <c r="H77" s="10" t="s">
        <v>368</v>
      </c>
      <c r="I77" s="12" t="s">
        <v>11</v>
      </c>
      <c r="J77" s="12"/>
      <c r="K77" s="12"/>
      <c r="L77" s="12"/>
    </row>
    <row r="78" customFormat="false" ht="35.05" hidden="false" customHeight="false" outlineLevel="0" collapsed="false">
      <c r="A78" s="10" t="s">
        <v>369</v>
      </c>
      <c r="B78" s="10" t="s">
        <v>17</v>
      </c>
      <c r="C78" s="13" t="s">
        <v>5</v>
      </c>
      <c r="D78" s="10" t="s">
        <v>6</v>
      </c>
      <c r="E78" s="10" t="s">
        <v>370</v>
      </c>
      <c r="F78" s="10" t="s">
        <v>371</v>
      </c>
      <c r="G78" s="10" t="s">
        <v>372</v>
      </c>
      <c r="H78" s="10" t="s">
        <v>373</v>
      </c>
      <c r="I78" s="12" t="s">
        <v>11</v>
      </c>
      <c r="J78" s="12"/>
      <c r="K78" s="12"/>
      <c r="L78" s="12"/>
    </row>
    <row r="79" customFormat="false" ht="23.85" hidden="false" customHeight="false" outlineLevel="0" collapsed="false">
      <c r="A79" s="10" t="s">
        <v>374</v>
      </c>
      <c r="B79" s="10" t="s">
        <v>17</v>
      </c>
      <c r="C79" s="13" t="s">
        <v>5</v>
      </c>
      <c r="D79" s="10" t="s">
        <v>6</v>
      </c>
      <c r="E79" s="10" t="s">
        <v>375</v>
      </c>
      <c r="F79" s="10"/>
      <c r="G79" s="10" t="s">
        <v>372</v>
      </c>
      <c r="H79" s="10" t="s">
        <v>376</v>
      </c>
      <c r="I79" s="12" t="s">
        <v>11</v>
      </c>
      <c r="J79" s="12"/>
      <c r="K79" s="12"/>
      <c r="L79" s="12"/>
    </row>
    <row r="80" customFormat="false" ht="23.85" hidden="false" customHeight="false" outlineLevel="0" collapsed="false">
      <c r="A80" s="10" t="s">
        <v>377</v>
      </c>
      <c r="B80" s="10" t="s">
        <v>17</v>
      </c>
      <c r="C80" s="13" t="s">
        <v>5</v>
      </c>
      <c r="D80" s="10" t="s">
        <v>6</v>
      </c>
      <c r="E80" s="10" t="s">
        <v>378</v>
      </c>
      <c r="F80" s="10" t="s">
        <v>379</v>
      </c>
      <c r="G80" s="10" t="s">
        <v>372</v>
      </c>
      <c r="H80" s="10" t="s">
        <v>380</v>
      </c>
      <c r="I80" s="12" t="s">
        <v>11</v>
      </c>
      <c r="J80" s="12"/>
      <c r="K80" s="12"/>
      <c r="L80" s="12"/>
    </row>
    <row r="81" customFormat="false" ht="35.05" hidden="false" customHeight="false" outlineLevel="0" collapsed="false">
      <c r="A81" s="10" t="s">
        <v>381</v>
      </c>
      <c r="B81" s="10" t="s">
        <v>17</v>
      </c>
      <c r="C81" s="13" t="s">
        <v>5</v>
      </c>
      <c r="D81" s="10" t="s">
        <v>6</v>
      </c>
      <c r="E81" s="10" t="s">
        <v>382</v>
      </c>
      <c r="F81" s="10" t="s">
        <v>383</v>
      </c>
      <c r="G81" s="10" t="s">
        <v>384</v>
      </c>
      <c r="H81" s="10" t="s">
        <v>385</v>
      </c>
      <c r="I81" s="12" t="s">
        <v>11</v>
      </c>
      <c r="J81" s="12"/>
      <c r="K81" s="12"/>
      <c r="L81" s="12"/>
    </row>
    <row r="82" customFormat="false" ht="23.85" hidden="false" customHeight="false" outlineLevel="0" collapsed="false">
      <c r="A82" s="10" t="s">
        <v>386</v>
      </c>
      <c r="B82" s="10" t="s">
        <v>17</v>
      </c>
      <c r="C82" s="13" t="s">
        <v>5</v>
      </c>
      <c r="D82" s="10" t="s">
        <v>6</v>
      </c>
      <c r="E82" s="10" t="s">
        <v>387</v>
      </c>
      <c r="F82" s="10" t="s">
        <v>388</v>
      </c>
      <c r="G82" s="10" t="s">
        <v>372</v>
      </c>
      <c r="H82" s="10" t="s">
        <v>389</v>
      </c>
      <c r="I82" s="12" t="s">
        <v>11</v>
      </c>
      <c r="J82" s="12"/>
      <c r="K82" s="12"/>
      <c r="L82" s="12"/>
    </row>
    <row r="83" customFormat="false" ht="35.05" hidden="false" customHeight="false" outlineLevel="0" collapsed="false">
      <c r="A83" s="10" t="s">
        <v>390</v>
      </c>
      <c r="B83" s="10" t="s">
        <v>17</v>
      </c>
      <c r="C83" s="11" t="s">
        <v>3</v>
      </c>
      <c r="D83" s="10" t="s">
        <v>51</v>
      </c>
      <c r="E83" s="10" t="s">
        <v>391</v>
      </c>
      <c r="F83" s="10" t="s">
        <v>392</v>
      </c>
      <c r="G83" s="10" t="s">
        <v>372</v>
      </c>
      <c r="H83" s="10" t="s">
        <v>393</v>
      </c>
      <c r="I83" s="12" t="s">
        <v>11</v>
      </c>
      <c r="J83" s="12"/>
      <c r="K83" s="12"/>
      <c r="L83" s="12"/>
    </row>
    <row r="84" customFormat="false" ht="23.85" hidden="false" customHeight="false" outlineLevel="0" collapsed="false">
      <c r="A84" s="10" t="s">
        <v>394</v>
      </c>
      <c r="B84" s="10" t="s">
        <v>17</v>
      </c>
      <c r="C84" s="13" t="s">
        <v>5</v>
      </c>
      <c r="D84" s="10" t="s">
        <v>6</v>
      </c>
      <c r="E84" s="10" t="s">
        <v>395</v>
      </c>
      <c r="F84" s="10" t="s">
        <v>396</v>
      </c>
      <c r="G84" s="10" t="s">
        <v>372</v>
      </c>
      <c r="H84" s="10" t="s">
        <v>397</v>
      </c>
      <c r="I84" s="12" t="s">
        <v>11</v>
      </c>
      <c r="J84" s="12"/>
      <c r="K84" s="12"/>
      <c r="L84" s="12"/>
    </row>
    <row r="85" customFormat="false" ht="23.85" hidden="false" customHeight="false" outlineLevel="0" collapsed="false">
      <c r="A85" s="10" t="s">
        <v>398</v>
      </c>
      <c r="B85" s="10" t="s">
        <v>17</v>
      </c>
      <c r="C85" s="13" t="s">
        <v>5</v>
      </c>
      <c r="D85" s="10" t="s">
        <v>6</v>
      </c>
      <c r="E85" s="10" t="s">
        <v>399</v>
      </c>
      <c r="F85" s="10" t="s">
        <v>400</v>
      </c>
      <c r="G85" s="10" t="s">
        <v>372</v>
      </c>
      <c r="H85" s="10" t="s">
        <v>401</v>
      </c>
      <c r="I85" s="12" t="s">
        <v>11</v>
      </c>
      <c r="J85" s="12"/>
      <c r="K85" s="12"/>
      <c r="L85" s="12"/>
    </row>
    <row r="86" customFormat="false" ht="23.85" hidden="false" customHeight="false" outlineLevel="0" collapsed="false">
      <c r="A86" s="10" t="s">
        <v>402</v>
      </c>
      <c r="B86" s="10" t="s">
        <v>17</v>
      </c>
      <c r="C86" s="13" t="s">
        <v>5</v>
      </c>
      <c r="D86" s="10" t="s">
        <v>51</v>
      </c>
      <c r="E86" s="10" t="s">
        <v>403</v>
      </c>
      <c r="F86" s="10" t="s">
        <v>404</v>
      </c>
      <c r="G86" s="10" t="s">
        <v>405</v>
      </c>
      <c r="H86" s="10" t="s">
        <v>406</v>
      </c>
      <c r="I86" s="12" t="s">
        <v>11</v>
      </c>
      <c r="J86" s="12"/>
      <c r="K86" s="12"/>
      <c r="L86" s="12"/>
    </row>
    <row r="87" customFormat="false" ht="23.85" hidden="false" customHeight="false" outlineLevel="0" collapsed="false">
      <c r="A87" s="10" t="s">
        <v>407</v>
      </c>
      <c r="B87" s="10" t="s">
        <v>17</v>
      </c>
      <c r="C87" s="11" t="s">
        <v>3</v>
      </c>
      <c r="D87" s="10" t="s">
        <v>51</v>
      </c>
      <c r="E87" s="10" t="s">
        <v>408</v>
      </c>
      <c r="F87" s="10"/>
      <c r="G87" s="10" t="s">
        <v>409</v>
      </c>
      <c r="H87" s="10" t="s">
        <v>410</v>
      </c>
      <c r="I87" s="12" t="s">
        <v>11</v>
      </c>
      <c r="J87" s="12"/>
      <c r="K87" s="12"/>
      <c r="L87" s="12"/>
    </row>
    <row r="88" customFormat="false" ht="23.85" hidden="false" customHeight="false" outlineLevel="0" collapsed="false">
      <c r="A88" s="10" t="s">
        <v>411</v>
      </c>
      <c r="B88" s="10" t="s">
        <v>17</v>
      </c>
      <c r="C88" s="13" t="s">
        <v>5</v>
      </c>
      <c r="D88" s="10" t="s">
        <v>51</v>
      </c>
      <c r="E88" s="10" t="s">
        <v>412</v>
      </c>
      <c r="F88" s="10"/>
      <c r="G88" s="10" t="s">
        <v>413</v>
      </c>
      <c r="H88" s="10" t="s">
        <v>414</v>
      </c>
      <c r="I88" s="12" t="s">
        <v>11</v>
      </c>
      <c r="J88" s="12"/>
      <c r="K88" s="12"/>
      <c r="L88" s="12"/>
    </row>
    <row r="89" customFormat="false" ht="15" hidden="false" customHeight="false" outlineLevel="0" collapsed="false">
      <c r="A89" s="10" t="s">
        <v>415</v>
      </c>
      <c r="B89" s="10" t="s">
        <v>17</v>
      </c>
      <c r="C89" s="13" t="s">
        <v>5</v>
      </c>
      <c r="D89" s="10" t="s">
        <v>6</v>
      </c>
      <c r="E89" s="10" t="s">
        <v>416</v>
      </c>
      <c r="F89" s="10"/>
      <c r="G89" s="10" t="s">
        <v>417</v>
      </c>
      <c r="H89" s="10" t="s">
        <v>418</v>
      </c>
      <c r="I89" s="12" t="s">
        <v>11</v>
      </c>
      <c r="J89" s="12"/>
      <c r="K89" s="12"/>
      <c r="L89" s="12"/>
    </row>
    <row r="90" customFormat="false" ht="23.85" hidden="false" customHeight="false" outlineLevel="0" collapsed="false">
      <c r="A90" s="10" t="s">
        <v>419</v>
      </c>
      <c r="B90" s="10" t="s">
        <v>17</v>
      </c>
      <c r="C90" s="13" t="s">
        <v>5</v>
      </c>
      <c r="D90" s="10" t="s">
        <v>51</v>
      </c>
      <c r="E90" s="10" t="s">
        <v>420</v>
      </c>
      <c r="F90" s="10"/>
      <c r="G90" s="10" t="s">
        <v>421</v>
      </c>
      <c r="H90" s="10" t="s">
        <v>422</v>
      </c>
      <c r="I90" s="12" t="s">
        <v>11</v>
      </c>
      <c r="J90" s="12"/>
      <c r="K90" s="12"/>
      <c r="L90" s="12"/>
    </row>
    <row r="91" customFormat="false" ht="23.85" hidden="false" customHeight="false" outlineLevel="0" collapsed="false">
      <c r="A91" s="10" t="s">
        <v>423</v>
      </c>
      <c r="B91" s="10" t="s">
        <v>18</v>
      </c>
      <c r="C91" s="11" t="s">
        <v>3</v>
      </c>
      <c r="D91" s="10" t="s">
        <v>6</v>
      </c>
      <c r="E91" s="10" t="s">
        <v>424</v>
      </c>
      <c r="F91" s="10" t="s">
        <v>425</v>
      </c>
      <c r="G91" s="10" t="s">
        <v>426</v>
      </c>
      <c r="H91" s="10" t="s">
        <v>427</v>
      </c>
      <c r="I91" s="12" t="s">
        <v>11</v>
      </c>
      <c r="J91" s="12"/>
      <c r="K91" s="12"/>
      <c r="L91" s="12"/>
    </row>
    <row r="92" customFormat="false" ht="15" hidden="false" customHeight="false" outlineLevel="0" collapsed="false">
      <c r="A92" s="10" t="s">
        <v>428</v>
      </c>
      <c r="B92" s="10" t="s">
        <v>18</v>
      </c>
      <c r="C92" s="14" t="s">
        <v>4</v>
      </c>
      <c r="D92" s="10" t="s">
        <v>6</v>
      </c>
      <c r="E92" s="10" t="s">
        <v>429</v>
      </c>
      <c r="F92" s="10"/>
      <c r="G92" s="10" t="s">
        <v>430</v>
      </c>
      <c r="H92" s="10" t="s">
        <v>431</v>
      </c>
      <c r="I92" s="12" t="s">
        <v>11</v>
      </c>
      <c r="J92" s="12"/>
      <c r="K92" s="12"/>
      <c r="L92" s="12"/>
    </row>
    <row r="93" customFormat="false" ht="23.85" hidden="false" customHeight="false" outlineLevel="0" collapsed="false">
      <c r="A93" s="10" t="s">
        <v>432</v>
      </c>
      <c r="B93" s="10" t="s">
        <v>18</v>
      </c>
      <c r="C93" s="11" t="s">
        <v>3</v>
      </c>
      <c r="D93" s="10" t="s">
        <v>51</v>
      </c>
      <c r="E93" s="10" t="s">
        <v>433</v>
      </c>
      <c r="F93" s="10"/>
      <c r="G93" s="10" t="s">
        <v>434</v>
      </c>
      <c r="H93" s="10" t="s">
        <v>435</v>
      </c>
      <c r="I93" s="12" t="s">
        <v>11</v>
      </c>
      <c r="J93" s="12"/>
      <c r="K93" s="12"/>
      <c r="L93" s="12"/>
    </row>
    <row r="94" customFormat="false" ht="15" hidden="false" customHeight="false" outlineLevel="0" collapsed="false">
      <c r="A94" s="10" t="s">
        <v>436</v>
      </c>
      <c r="B94" s="10" t="s">
        <v>18</v>
      </c>
      <c r="C94" s="11" t="s">
        <v>3</v>
      </c>
      <c r="D94" s="10" t="s">
        <v>6</v>
      </c>
      <c r="E94" s="10" t="s">
        <v>437</v>
      </c>
      <c r="F94" s="10"/>
      <c r="G94" s="10" t="s">
        <v>438</v>
      </c>
      <c r="H94" s="10" t="s">
        <v>439</v>
      </c>
      <c r="I94" s="12" t="s">
        <v>11</v>
      </c>
      <c r="J94" s="12"/>
      <c r="K94" s="12"/>
      <c r="L94" s="12"/>
    </row>
    <row r="95" customFormat="false" ht="23.85" hidden="false" customHeight="false" outlineLevel="0" collapsed="false">
      <c r="A95" s="10" t="s">
        <v>440</v>
      </c>
      <c r="B95" s="10" t="s">
        <v>18</v>
      </c>
      <c r="C95" s="13" t="s">
        <v>5</v>
      </c>
      <c r="D95" s="10" t="s">
        <v>51</v>
      </c>
      <c r="E95" s="10" t="s">
        <v>441</v>
      </c>
      <c r="F95" s="10" t="s">
        <v>442</v>
      </c>
      <c r="G95" s="10" t="s">
        <v>443</v>
      </c>
      <c r="H95" s="10" t="s">
        <v>444</v>
      </c>
      <c r="I95" s="12" t="s">
        <v>11</v>
      </c>
      <c r="J95" s="12"/>
      <c r="K95" s="12"/>
      <c r="L95" s="12"/>
    </row>
    <row r="96" customFormat="false" ht="23.85" hidden="false" customHeight="false" outlineLevel="0" collapsed="false">
      <c r="A96" s="10" t="s">
        <v>445</v>
      </c>
      <c r="B96" s="10" t="s">
        <v>18</v>
      </c>
      <c r="C96" s="13" t="s">
        <v>5</v>
      </c>
      <c r="D96" s="10" t="s">
        <v>51</v>
      </c>
      <c r="E96" s="10" t="s">
        <v>446</v>
      </c>
      <c r="F96" s="10"/>
      <c r="G96" s="10" t="s">
        <v>447</v>
      </c>
      <c r="H96" s="10" t="s">
        <v>448</v>
      </c>
      <c r="I96" s="12" t="s">
        <v>11</v>
      </c>
      <c r="J96" s="12"/>
      <c r="K96" s="12"/>
      <c r="L96" s="12"/>
    </row>
    <row r="97" customFormat="false" ht="35.05" hidden="false" customHeight="false" outlineLevel="0" collapsed="false">
      <c r="A97" s="10" t="s">
        <v>449</v>
      </c>
      <c r="B97" s="10" t="s">
        <v>19</v>
      </c>
      <c r="C97" s="13" t="s">
        <v>5</v>
      </c>
      <c r="D97" s="10" t="s">
        <v>6</v>
      </c>
      <c r="E97" s="10" t="s">
        <v>450</v>
      </c>
      <c r="F97" s="10" t="s">
        <v>451</v>
      </c>
      <c r="G97" s="10" t="s">
        <v>452</v>
      </c>
      <c r="H97" s="10" t="s">
        <v>453</v>
      </c>
      <c r="I97" s="12" t="s">
        <v>11</v>
      </c>
      <c r="J97" s="12"/>
      <c r="K97" s="12"/>
      <c r="L97" s="12"/>
    </row>
    <row r="98" customFormat="false" ht="23.85" hidden="false" customHeight="false" outlineLevel="0" collapsed="false">
      <c r="A98" s="10" t="s">
        <v>454</v>
      </c>
      <c r="B98" s="10" t="s">
        <v>19</v>
      </c>
      <c r="C98" s="13" t="s">
        <v>5</v>
      </c>
      <c r="D98" s="10" t="s">
        <v>6</v>
      </c>
      <c r="E98" s="10" t="s">
        <v>455</v>
      </c>
      <c r="F98" s="10" t="s">
        <v>456</v>
      </c>
      <c r="G98" s="10" t="s">
        <v>457</v>
      </c>
      <c r="H98" s="10" t="s">
        <v>458</v>
      </c>
      <c r="I98" s="12" t="s">
        <v>11</v>
      </c>
      <c r="J98" s="12"/>
      <c r="K98" s="12"/>
      <c r="L98" s="12"/>
    </row>
    <row r="99" customFormat="false" ht="23.85" hidden="false" customHeight="false" outlineLevel="0" collapsed="false">
      <c r="A99" s="10" t="s">
        <v>459</v>
      </c>
      <c r="B99" s="10" t="s">
        <v>19</v>
      </c>
      <c r="C99" s="13" t="s">
        <v>5</v>
      </c>
      <c r="D99" s="10" t="s">
        <v>6</v>
      </c>
      <c r="E99" s="10" t="s">
        <v>460</v>
      </c>
      <c r="F99" s="10" t="s">
        <v>461</v>
      </c>
      <c r="G99" s="10" t="s">
        <v>462</v>
      </c>
      <c r="H99" s="10" t="s">
        <v>463</v>
      </c>
      <c r="I99" s="12" t="s">
        <v>11</v>
      </c>
      <c r="J99" s="12"/>
      <c r="K99" s="12"/>
      <c r="L99" s="12"/>
    </row>
    <row r="100" customFormat="false" ht="23.85" hidden="false" customHeight="false" outlineLevel="0" collapsed="false">
      <c r="A100" s="10" t="s">
        <v>464</v>
      </c>
      <c r="B100" s="10" t="s">
        <v>19</v>
      </c>
      <c r="C100" s="13" t="s">
        <v>5</v>
      </c>
      <c r="D100" s="10" t="s">
        <v>51</v>
      </c>
      <c r="E100" s="10" t="s">
        <v>465</v>
      </c>
      <c r="F100" s="10"/>
      <c r="G100" s="10" t="s">
        <v>466</v>
      </c>
      <c r="H100" s="10" t="s">
        <v>467</v>
      </c>
      <c r="I100" s="12" t="s">
        <v>11</v>
      </c>
      <c r="J100" s="12"/>
      <c r="K100" s="12"/>
      <c r="L100" s="12"/>
    </row>
    <row r="101" customFormat="false" ht="23.85" hidden="false" customHeight="false" outlineLevel="0" collapsed="false">
      <c r="A101" s="10" t="s">
        <v>468</v>
      </c>
      <c r="B101" s="10" t="s">
        <v>19</v>
      </c>
      <c r="C101" s="11" t="s">
        <v>3</v>
      </c>
      <c r="D101" s="10" t="s">
        <v>51</v>
      </c>
      <c r="E101" s="10" t="s">
        <v>469</v>
      </c>
      <c r="F101" s="10" t="s">
        <v>470</v>
      </c>
      <c r="G101" s="10" t="s">
        <v>471</v>
      </c>
      <c r="H101" s="10" t="s">
        <v>472</v>
      </c>
      <c r="I101" s="12" t="s">
        <v>11</v>
      </c>
      <c r="J101" s="12"/>
      <c r="K101" s="12"/>
      <c r="L101" s="12"/>
    </row>
    <row r="102" customFormat="false" ht="23.85" hidden="false" customHeight="false" outlineLevel="0" collapsed="false">
      <c r="A102" s="10" t="s">
        <v>473</v>
      </c>
      <c r="B102" s="10" t="s">
        <v>19</v>
      </c>
      <c r="C102" s="11" t="s">
        <v>3</v>
      </c>
      <c r="D102" s="10" t="s">
        <v>51</v>
      </c>
      <c r="E102" s="10" t="s">
        <v>474</v>
      </c>
      <c r="F102" s="10" t="s">
        <v>475</v>
      </c>
      <c r="G102" s="10" t="s">
        <v>476</v>
      </c>
      <c r="H102" s="10" t="s">
        <v>477</v>
      </c>
      <c r="I102" s="12" t="s">
        <v>11</v>
      </c>
      <c r="J102" s="12"/>
      <c r="K102" s="12"/>
      <c r="L102" s="12"/>
    </row>
    <row r="103" customFormat="false" ht="23.85" hidden="false" customHeight="false" outlineLevel="0" collapsed="false">
      <c r="A103" s="10" t="s">
        <v>478</v>
      </c>
      <c r="B103" s="10" t="s">
        <v>19</v>
      </c>
      <c r="C103" s="13" t="s">
        <v>5</v>
      </c>
      <c r="D103" s="10" t="s">
        <v>51</v>
      </c>
      <c r="E103" s="10" t="s">
        <v>479</v>
      </c>
      <c r="F103" s="10" t="s">
        <v>480</v>
      </c>
      <c r="G103" s="10" t="s">
        <v>481</v>
      </c>
      <c r="H103" s="10" t="s">
        <v>482</v>
      </c>
      <c r="I103" s="12" t="s">
        <v>11</v>
      </c>
      <c r="J103" s="12"/>
      <c r="K103" s="12"/>
      <c r="L103" s="12"/>
    </row>
    <row r="104" customFormat="false" ht="23.85" hidden="false" customHeight="false" outlineLevel="0" collapsed="false">
      <c r="A104" s="10" t="s">
        <v>483</v>
      </c>
      <c r="B104" s="10" t="s">
        <v>19</v>
      </c>
      <c r="C104" s="13" t="s">
        <v>5</v>
      </c>
      <c r="D104" s="10" t="s">
        <v>88</v>
      </c>
      <c r="E104" s="10" t="s">
        <v>484</v>
      </c>
      <c r="F104" s="10" t="s">
        <v>485</v>
      </c>
      <c r="G104" s="10" t="s">
        <v>486</v>
      </c>
      <c r="H104" s="10" t="s">
        <v>487</v>
      </c>
      <c r="I104" s="12" t="s">
        <v>11</v>
      </c>
      <c r="J104" s="12"/>
      <c r="K104" s="12"/>
      <c r="L104" s="12"/>
    </row>
  </sheetData>
  <autoFilter ref="A4:L104"/>
  <conditionalFormatting sqref="I5:I104">
    <cfRule type="expression" priority="2" aboveAverage="0" equalAverage="0" bottom="0" percent="0" rank="0" text="" dxfId="7">
      <formula>I5="Pass"</formula>
    </cfRule>
    <cfRule type="expression" priority="3" aboveAverage="0" equalAverage="0" bottom="0" percent="0" rank="0" text="" dxfId="8">
      <formula>I5="Fail"</formula>
    </cfRule>
    <cfRule type="expression" priority="4" aboveAverage="0" equalAverage="0" bottom="0" percent="0" rank="0" text="" dxfId="9">
      <formula>I5="Blocked"</formula>
    </cfRule>
  </conditionalFormatting>
  <dataValidations count="1">
    <dataValidation allowBlank="true" errorStyle="stop" operator="between" showDropDown="false" showErrorMessage="false" showInputMessage="false" sqref="I5:I104" type="list">
      <formula1>"Chưa test,Pass,Fail,Blocked,N/A"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0"/>
    <col collapsed="false" customWidth="true" hidden="false" outlineLevel="0" max="3" min="3" style="0" width="2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488</v>
      </c>
    </row>
    <row r="3" customFormat="false" ht="15" hidden="false" customHeight="false" outlineLevel="0" collapsed="false">
      <c r="A3" s="15" t="s">
        <v>489</v>
      </c>
      <c r="B3" s="15" t="s">
        <v>490</v>
      </c>
      <c r="C3" s="15" t="s">
        <v>491</v>
      </c>
      <c r="D3" s="15" t="s">
        <v>492</v>
      </c>
    </row>
    <row r="4" customFormat="false" ht="15" hidden="false" customHeight="false" outlineLevel="0" collapsed="false">
      <c r="A4" s="10" t="s">
        <v>493</v>
      </c>
      <c r="B4" s="10" t="s">
        <v>494</v>
      </c>
      <c r="C4" s="10" t="s">
        <v>495</v>
      </c>
      <c r="D4" s="16"/>
    </row>
    <row r="5" customFormat="false" ht="15" hidden="false" customHeight="false" outlineLevel="0" collapsed="false">
      <c r="A5" s="10" t="s">
        <v>496</v>
      </c>
      <c r="B5" s="10" t="s">
        <v>497</v>
      </c>
      <c r="C5" s="10" t="s">
        <v>498</v>
      </c>
      <c r="D5" s="16"/>
    </row>
    <row r="6" customFormat="false" ht="23.85" hidden="false" customHeight="false" outlineLevel="0" collapsed="false">
      <c r="A6" s="10" t="s">
        <v>499</v>
      </c>
      <c r="B6" s="10" t="s">
        <v>500</v>
      </c>
      <c r="C6" s="10" t="s">
        <v>501</v>
      </c>
      <c r="D6" s="16"/>
    </row>
    <row r="7" customFormat="false" ht="15" hidden="false" customHeight="false" outlineLevel="0" collapsed="false">
      <c r="A7" s="10" t="s">
        <v>502</v>
      </c>
      <c r="B7" s="10" t="s">
        <v>503</v>
      </c>
      <c r="C7" s="10" t="s">
        <v>205</v>
      </c>
      <c r="D7" s="16"/>
    </row>
    <row r="8" customFormat="false" ht="23.85" hidden="false" customHeight="false" outlineLevel="0" collapsed="false">
      <c r="A8" s="10" t="s">
        <v>504</v>
      </c>
      <c r="B8" s="10" t="s">
        <v>505</v>
      </c>
      <c r="C8" s="10" t="s">
        <v>506</v>
      </c>
      <c r="D8" s="16"/>
    </row>
    <row r="9" customFormat="false" ht="23.85" hidden="false" customHeight="false" outlineLevel="0" collapsed="false">
      <c r="A9" s="10" t="s">
        <v>507</v>
      </c>
      <c r="B9" s="10" t="s">
        <v>508</v>
      </c>
      <c r="C9" s="10" t="s">
        <v>288</v>
      </c>
      <c r="D9" s="16"/>
    </row>
    <row r="10" customFormat="false" ht="23.85" hidden="false" customHeight="false" outlineLevel="0" collapsed="false">
      <c r="A10" s="10" t="s">
        <v>509</v>
      </c>
      <c r="B10" s="10" t="s">
        <v>510</v>
      </c>
      <c r="C10" s="10" t="s">
        <v>511</v>
      </c>
      <c r="D10" s="16"/>
    </row>
    <row r="11" customFormat="false" ht="15" hidden="false" customHeight="false" outlineLevel="0" collapsed="false">
      <c r="A11" s="10" t="s">
        <v>512</v>
      </c>
      <c r="B11" s="10" t="s">
        <v>513</v>
      </c>
      <c r="C11" s="10" t="s">
        <v>369</v>
      </c>
      <c r="D11" s="16"/>
    </row>
    <row r="12" customFormat="false" ht="23.85" hidden="false" customHeight="false" outlineLevel="0" collapsed="false">
      <c r="A12" s="10" t="s">
        <v>514</v>
      </c>
      <c r="B12" s="10" t="s">
        <v>515</v>
      </c>
      <c r="C12" s="10" t="s">
        <v>411</v>
      </c>
      <c r="D12" s="16"/>
    </row>
    <row r="13" customFormat="false" ht="15" hidden="false" customHeight="false" outlineLevel="0" collapsed="false">
      <c r="A13" s="10" t="s">
        <v>516</v>
      </c>
      <c r="B13" s="10" t="s">
        <v>517</v>
      </c>
      <c r="C13" s="10" t="s">
        <v>445</v>
      </c>
      <c r="D13" s="16"/>
    </row>
    <row r="14" customFormat="false" ht="15" hidden="false" customHeight="false" outlineLevel="0" collapsed="false">
      <c r="A14" s="10" t="s">
        <v>518</v>
      </c>
      <c r="B14" s="10" t="s">
        <v>519</v>
      </c>
      <c r="C14" s="10" t="s">
        <v>454</v>
      </c>
      <c r="D14" s="16"/>
    </row>
    <row r="15" customFormat="false" ht="15" hidden="false" customHeight="false" outlineLevel="0" collapsed="false">
      <c r="A15" s="10" t="s">
        <v>520</v>
      </c>
      <c r="B15" s="10" t="s">
        <v>521</v>
      </c>
      <c r="C15" s="10" t="s">
        <v>128</v>
      </c>
      <c r="D15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2026-09-26T18:00:31Z</dcterms:created>
  <dc:creator>openpyxl</dc:creator>
  <dc:description/>
  <dc:language>en-US</dc:language>
  <cp:lastModifiedBy/>
  <dcterms:modified xsi:type="dcterms:W3CDTF">2026-09-26T18:00:31Z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