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Test cases" sheetId="1" state="visible" r:id="rId3"/>
    <sheet name="Thong ke" sheetId="2" state="visible" r:id="rId4"/>
    <sheet name="Thong tin"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<sst xmlns="http://schemas.openxmlformats.org/spreadsheetml/2006/main" count="1061" uniqueCount="685">
  <si>
    <t xml:space="preserve">Test Case ID</t>
  </si>
  <si>
    <t xml:space="preserve">Purpose</t>
  </si>
  <si>
    <t xml:space="preserve">Category</t>
  </si>
  <si>
    <t xml:space="preserve">Trace BR</t>
  </si>
  <si>
    <t xml:space="preserve">Precondition</t>
  </si>
  <si>
    <t xml:space="preserve">Steps</t>
  </si>
  <si>
    <t xml:space="preserve">Data</t>
  </si>
  <si>
    <t xml:space="preserve">Expected Result</t>
  </si>
  <si>
    <t xml:space="preserve">Round 1</t>
  </si>
  <si>
    <t xml:space="preserve">Round 2</t>
  </si>
  <si>
    <t xml:space="preserve">Round 3</t>
  </si>
  <si>
    <t xml:space="preserve">Error Code</t>
  </si>
  <si>
    <t xml:space="preserve">Note</t>
  </si>
  <si>
    <t xml:space="preserve">Date</t>
  </si>
  <si>
    <t xml:space="preserve">Tester</t>
  </si>
  <si>
    <t xml:space="preserve">A. Case theo requirement</t>
  </si>
  <si>
    <t xml:space="preserve">Màn 11 — AC1 hiển thị, E-18 nút Google (không gắn BR)</t>
  </si>
  <si>
    <t xml:space="preserve">[US6_01]</t>
  </si>
  <si>
    <t xml:space="preserve">Màn đăng ký Android/Web từ IP VN có tab "Email" với ô Email và nút "Gửi mã xác thực", không còn form cũ</t>
  </si>
  <si>
    <t xml:space="preserve">UI</t>
  </si>
  <si>
    <t xml:space="preserve">— · AC1</t>
  </si>
  <si>
    <t xml:space="preserve">PC-0</t>
  </si>
  <si>
    <t xml:space="preserve">1. Ở màn 01 bấm "Đăng ký"
2. Quan sát thanh tab trên màn 11
3. Chọn tab "Email", quan sát các ô nhập và nút
4. Lặp bước 1–3 trên nền tảng còn lại (Android ↔ Web)</t>
  </si>
  <si>
    <t xml:space="preserve">-</t>
  </si>
  <si>
    <t xml:space="preserve">1. Mở màn 11 (Đăng ký)
2. Có tab "Số điện thoại" và tab "Email"
3. Tab Email có đúng 1 ô nhập Email và nút "Gửi mã xác thực"; không có ô Họ tên, SĐT, Mật khẩu, Xác nhận mật khẩu của form cũ
4. Nền tảng còn lại cho cùng kết quả bước 2–3</t>
  </si>
  <si>
    <t xml:space="preserve">Todo</t>
  </si>
  <si>
    <t xml:space="preserve">Ưu tiên: P1
Loại: UI, Android + Web
Nguồn: US6:57 "Mở đăng ký trên Android/Web → Tab "Email" thay cho form cũ"; US6:7 form cũ (họ tên, email, SĐT, mật khẩu, xác nhận mật khẩu); US1:56 hai tab ở IP VN; US3:52 link Đăng ký
Evidence: screenshot màn 11 từng nền tảng</t>
  </si>
  <si>
    <t xml:space="preserve">[US6_02]</t>
  </si>
  <si>
    <t xml:space="preserve">Màn 11 có nút "Tiếp tục với Google" và bấm vào thì rời luồng email sang luồng Google</t>
  </si>
  <si>
    <t xml:space="preserve">— · AC1 · E-18</t>
  </si>
  <si>
    <t xml:space="preserve">PC-0; đang ở màn 11 tab Email</t>
  </si>
  <si>
    <t xml:space="preserve">1. Tìm nút "Tiếp tục với Google" trên màn 11
2. Bấm nút đó
3. Quan sát màn hình tiếp theo</t>
  </si>
  <si>
    <t xml:space="preserve">1. Có nút "Tiếp tục với Google"
3. Rời màn 11, mở bước đăng nhập Google (hành vi tiếp theo thuộc US9, không kiểm ở đây)</t>
  </si>
  <si>
    <t xml:space="preserve">Ưu tiên: P2
Loại: UI
Nguồn: US9:60 "Màn đăng ký (Android, Web) → Có nút "Tiếp tục với Google""; US6:33 "Nút "Tiếp tục với Google" xem US9"; user flow US6:21
Evidence: screenshot</t>
  </si>
  <si>
    <t xml:space="preserve">AC2 / E-08 — iOS không có đường vào đăng ký</t>
  </si>
  <si>
    <t xml:space="preserve">[US6_03]</t>
  </si>
  <si>
    <t xml:space="preserve">iOS: màn đăng nhập, Quên mật khẩu → Back và các màn khác đều không có nút/link Đăng ký</t>
  </si>
  <si>
    <t xml:space="preserve">Security</t>
  </si>
  <si>
    <t xml:space="preserve">— · AC2 · E-08</t>
  </si>
  <si>
    <t xml:space="preserve">App iOS bản có Epic; chưa đăng nhập</t>
  </si>
  <si>
    <t xml:space="preserve">1. Mở app iOS → màn đăng nhập, tìm nút/link "Đăng ký"
2. Bấm "Quên mật khẩu", rồi bấm Back
3. Quan sát màn đăng nhập sau Back
4. Lần lượt mở màn Quên mật khẩu, màn lỗi (gõ sai mật khẩu), màn hết phiên (nếu dựng được); tìm nút/link Đăng ký ở mỗi màn</t>
  </si>
  <si>
    <t xml:space="preserve">1. Không có nút/link "Đăng ký"
3. Về màn đăng nhập, vẫn không có nút/link "Đăng ký" (không hiện "Đăng ký ngay" như BUG10)
4. Không màn nào có nút/link "Đăng ký"</t>
  </si>
  <si>
    <t xml:space="preserve">Ưu tiên: P1
Loại: Security, chỉ iOS; dùng chung với BUG10 AC1–AC2
Nguồn: US6:58 "Dùng app iOS theo mọi đường → Không vào được màn đăng ký"; EPIC:108; BUG10:17-20 bốn bước tái hiện; BUG10:34-35; US3:53; 02 §4 d.8
Evidence: screenshot từng màn</t>
  </si>
  <si>
    <t xml:space="preserve">[US6_04]</t>
  </si>
  <si>
    <t xml:space="preserve">iOS: mở deep link / URL màn đăng ký trực tiếp không vào được màn đăng ký</t>
  </si>
  <si>
    <t xml:space="preserve">App iOS đã cài; có URL trang đăng ký web và deep link (nếu app có — hỏi Dev)</t>
  </si>
  <si>
    <t xml:space="preserve">1. Trên iPhone mở Safari, gõ URL trang đăng ký web, chọn mở trong app (nếu iOS gợi ý)
2. Mở deep link của app trỏ tới màn đăng ký (nếu có)
3. Quan sát màn hình app sau mỗi bước</t>
  </si>
  <si>
    <t xml:space="preserve">URL trang đăng ký; deep link (Dev cung cấp)</t>
  </si>
  <si>
    <t xml:space="preserve">1. App không mở màn đăng ký (về màn đăng nhập hoặc không nhận link)
2. App không mở màn đăng ký
3. Không có bước nào để tới màn 11</t>
  </si>
  <si>
    <t xml:space="preserve">Ưu tiên: P1
Loại: Security, chỉ iOS; dùng chung với BUG10 AC3
Nguồn: BUG10:36 "Mở link đăng ký trực tiếp trên iOS (deep link, link trong trang web) → Không vào được màn đăng ký"; BUG10:28; 02 §4 d.8 (4)
Evidence: screen record</t>
  </si>
  <si>
    <t xml:space="preserve">[US6_05]</t>
  </si>
  <si>
    <t xml:space="preserve">iOS: bấm Google với email Google chưa có tài khoản thì không tạo tài khoản và báo đăng ký trên web/Android</t>
  </si>
  <si>
    <t xml:space="preserve">— · AC2 · US9 AC5</t>
  </si>
  <si>
    <t xml:space="preserve">App iOS; tài khoản Google với email chưa gắn tài khoản Gopany (qa.ios01@gmail.com)</t>
  </si>
  <si>
    <t xml:space="preserve">1. Màn đăng nhập iOS bấm "Tiếp tục với Google", chọn tài khoản Google trên
2. Quan sát thông báo
3. Trên web, vào màn 11 gõ qa.ios01@gmail.com, bấm "Gửi mã xác thực"</t>
  </si>
  <si>
    <t xml:space="preserve">qa.ios01@gmail.com</t>
  </si>
  <si>
    <t xml:space="preserve">2. Không tạo tài khoản; hiện "Tài khoản chưa tồn tại. Vui lòng đăng ký trên web hoặc ứng dụng Android."
3. Được gửi OTP (sang màn 12) — chứng tỏ bước 1 không tạo tài khoản cho email này</t>
  </si>
  <si>
    <t xml:space="preserve">Ưu tiên: P1
Loại: Security, chỉ iOS
Nguồn: US9:64 "iOS, email Google chưa có tài khoản → Không tạo tài khoản; báo "Tài khoản chưa tồn tại. Vui lòng đăng ký trên web hoặc ứng dụng Android.""; EPIC:78; 02 §4 d.8 (5)
Evidence: screenshot thông báo + screenshot màn 12 trên web</t>
  </si>
  <si>
    <t xml:space="preserve">Bước 1 — AC3 định dạng email (không gắn BR)</t>
  </si>
  <si>
    <t xml:space="preserve">[US6_06]</t>
  </si>
  <si>
    <t xml:space="preserve">Email sai định dạng bị báo "Email không đúng định dạng" tại ô, không có request gửi mã, ở lại màn 11</t>
  </si>
  <si>
    <t xml:space="preserve">Negative</t>
  </si>
  <si>
    <t xml:space="preserve">— · AC3 · E-13</t>
  </si>
  <si>
    <t xml:space="preserve">PC-0; đang ở màn 11 tab Email; Network/proxy đang bắt; chuỗi 255 ký tự tạo bằng script và đếm lại độ dài trước khi dán</t>
  </si>
  <si>
    <t xml:space="preserve">1. Gõ giá trị trong Data vào ô Email
2. Bấm "Gửi mã xác thực"
3. Quan sát ô Email, màn hình và Network
4. Lặp bước 1–3 với từng giá trị còn lại</t>
  </si>
  <si>
    <t xml:space="preserve">Bộ sai của BA (02 §4 d.21), lần lượt: abc@gmail (tên miền không có dấu chấm) · abc@@gmail.com (hai dấu @) · abcgmail.com (không có @) · a b@gmail.com (khoảng trắng giữa) · abc@gmail.c (đuôi 1 chữ cái) · nguyễn@gmail.com (dấu tiếng Việt trước @). Thêm biên: email 255 ký tự = a×64 + @ + b×63 + . + c×63 + . + d×58 + .com (vượt tối đa 254) · qa@côngty.vn (dấu tiếng Việt ở tên miền — suy từ quy định chung "không dấu tiếng Việt", BA chưa có ví dụ cho tên miền)</t>
  </si>
  <si>
    <t xml:space="preserve">3. Hiện "Email không đúng định dạng" tại ô Email; không có request gửi OTP; vẫn ở màn 11
4. Mỗi giá trị còn lại cho cùng kết quả như bước 3</t>
  </si>
  <si>
    <t xml:space="preserve">Ưu tiên: P1
Loại: Validation FE
Nguồn: US6:60 "Email sai định dạng → Báo lỗi tại ô, không gửi mã"; 02 §4 d.21 [ĐÃ XÁC NHẬN] (BA qua Hồng 2026-10-16) quy định định dạng, bộ mẫu sai và nguyên văn "Email không đúng định dạng"; EPIC:206 FE kiểm tại ô
Ô Email trống không có trong bộ BA → nhóm B [US6_78]; qa@côngty.vn nếu được chấp nhận thì ghi nhận và hỏi lại BA (03 §11 #5)
Evidence: screenshot từng giá trị + Network</t>
  </si>
  <si>
    <t xml:space="preserve">[US6_07]</t>
  </si>
  <si>
    <t xml:space="preserve">BE kiểm lại định dạng: gọi thẳng API gửi OTP với từng email sai định dạng của bộ BA thì BE từ chối, không gửi mã</t>
  </si>
  <si>
    <t xml:space="preserve">PC-0; biết tên API gửi OTP email và payload (Q-12); công cụ gọi API (Postman/curl); chuỗi 255 ký tự tạo bằng script</t>
  </si>
  <si>
    <t xml:space="preserve">1. Gọi API gửi OTP với giá trị thứ nhất trong Data (bỏ qua FE)
2. Quan sát response
3. Lặp bước 1–2 với từng giá trị còn lại
4. Kiểm log gửi mail của BE (nếu BE cho xem) hoặc hộp thư với địa chỉ tồn tại</t>
  </si>
  <si>
    <t xml:space="preserve">Bộ sai của BA (02 §4 d.21): abc@gmail · abc@@gmail.com · abcgmail.com · a b@gmail.com · abc@gmail.c · nguyễn@gmail.com · email 255 ký tự (như [US6_06])</t>
  </si>
  <si>
    <t xml:space="preserve">2. BE từ chối (response lỗi, không phải thành công). Mã lỗi và nội dung response: Chờ Q-12
3. Mỗi giá trị còn lại đều bị từ chối như bước 2
4. Không có email mã nào được gửi</t>
  </si>
  <si>
    <t xml:space="preserve">Ưu tiên: P2
Loại: Security, API
❓ Cần chốt: Q-12 (tên API, mã lỗi — chưa chạy được)
Nguồn: EPIC:206 "FE kiểm tra định dạng tại ô, BE kiểm tra lại toàn bộ + quy tắc nghiệp vụ, trả mã lỗi"; US6:60; 02 §4 d.21 [ĐÃ XÁC NHẬN] "FE kiểm tra tại ô, BE kiểm tra lại" + bộ mẫu sai; 02 §4 d.10 lớp hai
Nguyên văn "Email không đúng định dạng" là thông báo FE tại ô; response API không có trong câu trả lời BA
Evidence: request/response từng giá trị</t>
  </si>
  <si>
    <t xml:space="preserve">[US6_08]</t>
  </si>
  <si>
    <t xml:space="preserve">Email hợp lệ có chữ hoa và subdomain qua kiểm định dạng và mã về đúng hộp thư</t>
  </si>
  <si>
    <t xml:space="preserve">Positive</t>
  </si>
  <si>
    <t xml:space="preserve">— · AC3 · E-02</t>
  </si>
  <si>
    <t xml:space="preserve">PC-0; đang ở màn 11; hộp thư qa.moi03@sub.congty.vn chưa gắn tài khoản, QA truy cập được</t>
  </si>
  <si>
    <t xml:space="preserve">1. Gõ QA.Moi03@Sub.Congty.VN vào ô Email
2. Bấm "Gửi mã xác thực"
3. Kiểm hộp thư qa.moi03@sub.congty.vn</t>
  </si>
  <si>
    <t xml:space="preserve">QA.Moi03@Sub.Congty.VN</t>
  </si>
  <si>
    <t xml:space="preserve">2. Không bị báo lỗi định dạng; sang màn 12
3. Hộp thư nhận email chứa mã OTP</t>
  </si>
  <si>
    <t xml:space="preserve">Ưu tiên: P2
Loại: Validation FE, Integration email
Nguồn: 02 §4 d.21 [ĐÃ XÁC NHẬN] định dạng (BA qua Hồng 2026-10-16; thay cho câu trả lời tái dùng từ US4 "chuẩn chung có @ và tên miền"); EPIC:97 "Email so khớp không phân biệt hoa/thường"; US6:64
Evidence: screenshot màn 12 + email nhận được</t>
  </si>
  <si>
    <t xml:space="preserve">[US6_74]</t>
  </si>
  <si>
    <t xml:space="preserve">Email có . và + trước @ qua kiểm định dạng, được gửi mã và mã về hộp thư</t>
  </si>
  <si>
    <t xml:space="preserve">PC-0; đang ở màn 11 tab Email; Network đang bắt; hộp Gmail thật QA sở hữu, chưa gắn tài khoản (mẫu qa.moi05@gmail.com; Gmail chuyển thư gửi tới qa.moi05+1@gmail.com về hộp này). Không có hộp thư thật thì chỉ chạy tới bước 2 và ghi "bước 3 không kiểm được"</t>
  </si>
  <si>
    <t xml:space="preserve">1. Gõ qa.moi05+1@gmail.com vào ô Email
2. Bấm "Gửi mã xác thực"; quan sát ô Email, màn hình và Network
3. Kiểm hộp thư qa.moi05@gmail.com</t>
  </si>
  <si>
    <t xml:space="preserve">qa.moi05+1@gmail.com (dạng mẫu BA a.b+1@gmail.com)</t>
  </si>
  <si>
    <t xml:space="preserve">2. Không hiện "Email không đúng định dạng"; có request gửi OTP; sang màn 12
3. Hộp thư nhận email từ Gopany có mã OTP</t>
  </si>
  <si>
    <t xml:space="preserve">Ưu tiên: P2
Loại: Validation FE + BE, Integration email
Nguồn: 02 §4 d.21 [ĐÃ XÁC NHẬN] "cho phép . _ - + trước @ (vd a.b+1@gmail.com hợp lệ)" (BA qua Hồng 2026-10-16); US6:64 "OTP gửi qua email"; EPIC:206
Chuyển từ nhóm B [US6_61] (dấu +)
Evidence: screenshot màn 12 + Network + email</t>
  </si>
  <si>
    <t xml:space="preserve">[US6_75]</t>
  </si>
  <si>
    <t xml:space="preserve">Email có _, - trước @ và tên miền hai cấp .com.vn qua kiểm định dạng và được gửi mã</t>
  </si>
  <si>
    <t xml:space="preserve">PC-0; đang ở màn 11 tab Email; Network đang bắt; hộp thư thật dạng &lt;a&gt;_&lt;b&gt;-&lt;c&gt;@&lt;tenmien&gt;.com.vn QA sở hữu, chưa gắn tài khoản (mẫu qa_moi-06@congty.com.vn). Không có hộp thư thật thì chỉ chạy tới bước 2 và ghi "bước 3 không kiểm được"</t>
  </si>
  <si>
    <t xml:space="preserve">1. Gõ qa_moi-06@congty.com.vn vào ô Email
2. Bấm "Gửi mã xác thực"; quan sát ô Email, màn hình và Network
3. Kiểm hộp thư qa_moi-06@congty.com.vn</t>
  </si>
  <si>
    <t xml:space="preserve">qa_moi-06@congty.com.vn (dạng mẫu BA nguyen_van-a@congty.com.vn)</t>
  </si>
  <si>
    <t xml:space="preserve">Ưu tiên: P2
Loại: Validation FE + BE, Integration email
Nguồn: 02 §4 d.21 [ĐÃ XÁC NHẬN] mẫu hợp lệ nguyen_van-a@congty.com.vn (BA qua Hồng 2026-10-16); US6:64; EPIC:206
Evidence: screenshot màn 12 + Network + email</t>
  </si>
  <si>
    <t xml:space="preserve">[US6_76]</t>
  </si>
  <si>
    <t xml:space="preserve">Email đúng 254 ký tự (biên trên hợp lệ) chỉ kiểm qua định dạng: không lỗi tại ô và có request gửi mã đi, không chờ nhận mã</t>
  </si>
  <si>
    <t xml:space="preserve">Edge case</t>
  </si>
  <si>
    <t xml:space="preserve">PC-0; đang ở màn 11 tab Email; Network đang bắt; chuỗi 254 ký tự tạo bằng script và đếm lại độ dài trước khi dán (không có hộp thư thật — chỉ kiểm lớp định dạng)</t>
  </si>
  <si>
    <t xml:space="preserve">1. Dán chuỗi 254 ký tự trong Data vào ô Email
2. Bấm "Gửi mã xác thực"; quan sát ô Email và Network
3. Nếu không sang màn 12, đọc thông báo đang hiện</t>
  </si>
  <si>
    <t xml:space="preserve">a×64 + @ + b×63 + . + c×63 + . + d×57 + .com = đúng 254 ký tự</t>
  </si>
  <si>
    <t xml:space="preserve">2. Không hiện "Email không đúng định dạng" tại ô; Network có request gửi OTP đi (FE không chặn vì định dạng)
3. Nếu ở lại màn 11 với lỗi gửi (tên miền không tồn tại) thì đó là nhánh AC5 — ghi nhận thông báo, không tính fail định dạng</t>
  </si>
  <si>
    <t xml:space="preserve">Ưu tiên: P3
Loại: Boundary, Validation FE
Nguồn: 02 §4 d.21 [ĐÃ XÁC NHẬN] "tối đa 254 ký tự" (BA qua Hồng 2026-10-16); EPIC:206
Biên 255 ký tự (sai) ở [US6_06]; chuyển từ nhóm B [US6_61] (email rất dài)
Evidence: Network + screenshot</t>
  </si>
  <si>
    <t xml:space="preserve">[US6_77]</t>
  </si>
  <si>
    <t xml:space="preserve">Email có khoảng trắng đầu/cuối được tự cắt rồi gửi mã tới địa chỉ đã cắt</t>
  </si>
  <si>
    <t xml:space="preserve">PC-0; đang ở màn 11 tab Email; Network đang bắt (xem được payload); hộp Gmail thật QA sở hữu, chưa gắn tài khoản (mẫu qa.moi07@gmail.com)</t>
  </si>
  <si>
    <t xml:space="preserve">1. Gõ  qa.moi07@gmail.com  (một dấu cách trước và một dấu cách sau) vào ô Email
2. Bấm "Gửi mã xác thực"; quan sát ô Email, màn hình và payload request trên Network
3. Kiểm hộp thư qa.moi07@gmail.com</t>
  </si>
  <si>
    <t xml:space="preserve"> qa.moi07@gmail.com  — có khoảng trắng hai đầu (dạng mẫu BA " abc@gmail.com ")</t>
  </si>
  <si>
    <t xml:space="preserve">2. Không hiện "Email không đúng định dạng"; sang màn 12; request gửi OTP mang email đã cắt khoảng trắng qa.moi07@gmail.com
3. Hộp thư qa.moi07@gmail.com nhận email từ Gopany có mã OTP</t>
  </si>
  <si>
    <t xml:space="preserve">Ưu tiên: P2
Loại: Validation FE + BE, Integration email
Nguồn: 02 §4 d.21 [ĐÃ XÁC NHẬN] "khoảng trắng đầu/cuối tự cắt bỏ", mẫu hợp lệ " abc@gmail.com " (BA qua Hồng 2026-10-16); US6:64; EPIC:206
Chuyển từ nhóm B [US6_61] (khoảng trắng hai đầu); dạng lưu tên hiển thị / email vẫn Q-08 ([US6_43])
Evidence: screenshot màn 12 + payload Network + email</t>
  </si>
  <si>
    <t xml:space="preserve">BR1 — Chỉ email chưa gắn tài khoản nào mới được đăng ký (AC4)</t>
  </si>
  <si>
    <t xml:space="preserve">[US6_09]</t>
  </si>
  <si>
    <t xml:space="preserve">Email chưa có tài khoản thì được gửi OTP qua email và sang màn 12</t>
  </si>
  <si>
    <t xml:space="preserve">BR1 · AC6</t>
  </si>
  <si>
    <t xml:space="preserve">PC-0; EMAIL-N chưa gắn tài khoản; hộp thư EMAIL-N mở sẵn</t>
  </si>
  <si>
    <t xml:space="preserve">1. Màn 11 gõ EMAIL-N, bấm "Gửi mã xác thực"
2. Quan sát màn hình
3. Kiểm hộp thư EMAIL-N</t>
  </si>
  <si>
    <t xml:space="preserve">EMAIL-N qa.moi01@congty.vn</t>
  </si>
  <si>
    <t xml:space="preserve">2. Sang màn 12 (Xác thực email), không có thông báo lỗi
3. Hộp thư nhận email từ Gopany có mã OTP</t>
  </si>
  <si>
    <t xml:space="preserve">Ưu tiên: P1
Loại: Functional, Integration email
Nguồn: US6:46 "Chỉ email chưa gắn tài khoản nào mới được đăng ký"; US6:64 "Bấm "Gửi mã xác thực" hợp lệ → OTP gửi qua email"; 02 §4 d.11 (phải có mã)
Evidence: screenshot màn 12 + email</t>
  </si>
  <si>
    <t xml:space="preserve">[US6_10]</t>
  </si>
  <si>
    <t xml:space="preserve">Email của tài khoản form cũ bị chặn: không gửi OTP, báo đã đăng ký, gợi ý Đăng nhập, ở lại màn 11</t>
  </si>
  <si>
    <t xml:space="preserve">BR1 · AC4 · E-01</t>
  </si>
  <si>
    <t xml:space="preserve">PC-0; TK-CŨ tồn tại; hộp thư cu01@congty.vn mở sẵn; Network đang bắt</t>
  </si>
  <si>
    <t xml:space="preserve">1. Màn 11 gõ cu01@congty.vn, bấm "Gửi mã xác thực"
2. Quan sát màn hình và thông báo
3. Kiểm hộp thư cu01@congty.vn</t>
  </si>
  <si>
    <t xml:space="preserve">cu01@congty.vn (TK-CŨ)</t>
  </si>
  <si>
    <t xml:space="preserve">2. Vẫn ở màn 11; có thông báo email đã đăng ký kèm gợi ý Đăng nhập; không sang màn 12. Chờ Q-07: nguyên văn thông báo
3. Hộp thư không nhận mã OTP</t>
  </si>
  <si>
    <t xml:space="preserve">Ưu tiên: P1
Loại: Functional
Nguồn: US6:61 "Email đã có tài khoản → Không gửi OTP; báo đã đăng ký, gợi ý Đăng nhập"; EPIC:96 "mỗi email chỉ gắn với một tài khoản"; EPIC:194 tài khoản cũ không bị ảnh hưởng
Nguyên văn: Chờ Q-07
Evidence: screenshot + hộp thư + Network</t>
  </si>
  <si>
    <t xml:space="preserve">[US6_11]</t>
  </si>
  <si>
    <t xml:space="preserve">Email của tài khoản Google bị chặn như email đã có tài khoản</t>
  </si>
  <si>
    <t xml:space="preserve">BR1 · AC4 · E-17</t>
  </si>
  <si>
    <t xml:space="preserve">PC-0; TK-G tồn tại (đã đăng nhập Google ít nhất một lần); hộp thư gg01@gmail.com mở sẵn</t>
  </si>
  <si>
    <t xml:space="preserve">1. Màn 11 gõ gg01@gmail.com, bấm "Gửi mã xác thực"
2. Quan sát màn hình
3. Kiểm hộp thư gg01@gmail.com</t>
  </si>
  <si>
    <t xml:space="preserve">gg01@gmail.com (TK-G)</t>
  </si>
  <si>
    <t xml:space="preserve">2. Ở màn 11; thông báo đã đăng ký + gợi ý Đăng nhập (Chờ Q-07 nguyên văn); không sang màn 12
3. Hộp thư không nhận mã OTP</t>
  </si>
  <si>
    <t xml:space="preserve">Ưu tiên: P1
Loại: Functional
Nguồn: US6:61; US9:45 "Email Google được tính là email đã xác thực"; US9:46 email trùng → đăng nhập, không tạo mới; file 01 mục 8 #3
Evidence: screenshot + hộp thư</t>
  </si>
  <si>
    <t xml:space="preserve">[US6_12]</t>
  </si>
  <si>
    <t xml:space="preserve">Email đã thêm ở Thông tin tài khoản (US5) bị chặn như email đã có tài khoản</t>
  </si>
  <si>
    <t xml:space="preserve">BR1 · AC4 · US5 BR8</t>
  </si>
  <si>
    <t xml:space="preserve">PC-0; TK-US5 đã thêm và xác thực email them01@congty.vn; hộp thư mở sẵn</t>
  </si>
  <si>
    <t xml:space="preserve">1. Màn 11 gõ them01@congty.vn, bấm "Gửi mã xác thực"
2. Quan sát màn hình
3. Kiểm hộp thư</t>
  </si>
  <si>
    <t xml:space="preserve">them01@congty.vn (TK-US5)</t>
  </si>
  <si>
    <t xml:space="preserve">2. Ở màn 11; thông báo đã đăng ký + gợi ý Đăng nhập (Chờ Q-07); không sang màn 12
3. Hộp thư không nhận mã OTP</t>
  </si>
  <si>
    <t xml:space="preserve">Ưu tiên: P2
Loại: Functional
Nguồn: US6:61; US5:57 "Email vừa thêm (đã xác thực) dùng được ngay để đăng nhập…"; EPIC:98 email lưu sau xác thực
Evidence: screenshot + hộp thư</t>
  </si>
  <si>
    <t xml:space="preserve">[US6_13]</t>
  </si>
  <si>
    <t xml:space="preserve">Email vừa đăng ký xong bằng US6 không đăng ký lại được lần hai</t>
  </si>
  <si>
    <t xml:space="preserve">PC-0; đã tạo tài khoản bằng EMAIL-N theo [US6_46]; đã đăng xuất; hộp thư EMAIL-N mở sẵn</t>
  </si>
  <si>
    <t xml:space="preserve">EMAIL-N (đã có tài khoản)</t>
  </si>
  <si>
    <t xml:space="preserve">2. Ở màn 11; thông báo đã đăng ký + gợi ý Đăng nhập (Chờ Q-07); không sang màn 12
3. Hộp thư không nhận mã OTP mới</t>
  </si>
  <si>
    <t xml:space="preserve">Ưu tiên: P1
Loại: Functional, Data integrity
Nguồn: US6:46; US6:61; EPIC:96 "Mỗi SĐT và mỗi email chỉ gắn với một tài khoản"
Evidence: screenshot + hộp thư</t>
  </si>
  <si>
    <t xml:space="preserve">[US6_14]</t>
  </si>
  <si>
    <t xml:space="preserve">Email gõ khác chữ hoa/thường với email đã có tài khoản vẫn bị chặn (cùng một email)</t>
  </si>
  <si>
    <t xml:space="preserve">BR1 · AC4 · E-02</t>
  </si>
  <si>
    <t xml:space="preserve">PC-0; TK-CŨ có cu01@congty.vn; hộp thư mở sẵn</t>
  </si>
  <si>
    <t xml:space="preserve">1. Màn 11 gõ Cu01@Congty.VN, bấm "Gửi mã xác thực"
2. Quan sát màn hình
3. Kiểm hộp thư cu01@congty.vn</t>
  </si>
  <si>
    <t xml:space="preserve">Cu01@Congty.VN</t>
  </si>
  <si>
    <t xml:space="preserve">2. Ở màn 11; thông báo đã đăng ký + gợi ý Đăng nhập (Chờ Q-07); không sang màn 12; không tạo tài khoản thứ hai
3. Hộp thư không nhận mã OTP</t>
  </si>
  <si>
    <t xml:space="preserve">Ưu tiên: P1
Loại: Functional, Data integrity
Nguồn: EPIC:97 "Email so khớp không phân biệt hoa/thường"; 02 §4 d.21 [ĐÃ XÁC NHẬN] "không phân biệt hoa thường (ABC@gmail.com = abc@gmail.com khi kiểm tra trùng)" (BA qua Hồng 2026-10-16); US6:46; US6:61; 02 §4 d.14 (Q-15 đã đóng)
Evidence: screenshot + hộp thư</t>
  </si>
  <si>
    <t xml:space="preserve">[US6_15]</t>
  </si>
  <si>
    <t xml:space="preserve">Email đã được mời vào workspace nhưng chưa đăng ký: có được đăng ký không và sau đó vào workspace nào (chờ chốt)</t>
  </si>
  <si>
    <t xml:space="preserve">BR1 · AC4 · AC10</t>
  </si>
  <si>
    <t xml:space="preserve">PC-0; EMAIL-MỜI đã được mời vào W1, chưa có tài khoản; hộp thư mở sẵn</t>
  </si>
  <si>
    <t xml:space="preserve">1. Màn 11 gõ EMAIL-MỜI, bấm "Gửi mã xác thực"
2. Quan sát màn hình và hộp thư
3. Nếu nhận mã: đi tiếp màn 12 → 13 (MK) → bấm "Đăng ký"
4. Quan sát màn 14 và màn sau khi bấm "Bắt đầu sử dụng"; ghi tên workspace đang ở</t>
  </si>
  <si>
    <t xml:space="preserve">EMAIL-MỜI moi01@congty.vn; MK</t>
  </si>
  <si>
    <t xml:space="preserve">2. Chờ Q-01: được gửi OTP (phương án Hồng tạm theo) hay bị chặn như AC4 — không có expected
4. Chờ Q-01: vào W1 đã mời, tạo workspace mới, hay có màn chọn — không có expected; ghi lại những gì thấy</t>
  </si>
  <si>
    <t xml:space="preserve">Ưu tiên: P1
Loại: Functional
❓ Cần chốt: Q-01 (cả phần cho đăng ký lẫn phần workspace)
Nguồn: US6:46; US6:69 "tạo workspace (nếu chưa có)"; US9:46 liệt kê "được mời"; 02 §4 d.15 [GIẢ ĐỊNH]
Evidence: screenshot từng màn</t>
  </si>
  <si>
    <t xml:space="preserve">[US6_16]</t>
  </si>
  <si>
    <t xml:space="preserve">BE kiểm lại BR1: gọi thẳng API gửi OTP với email đã có tài khoản thì BE từ chối, không gửi mã</t>
  </si>
  <si>
    <t xml:space="preserve">BR1 · E-13</t>
  </si>
  <si>
    <t xml:space="preserve">PC-0; TK-CŨ; biết API gửi OTP email (Q-12)</t>
  </si>
  <si>
    <t xml:space="preserve">1. Gọi API gửi OTP đăng ký với cu01@congty.vn (bỏ qua FE)
2. Quan sát response
3. Kiểm hộp thư cu01@congty.vn</t>
  </si>
  <si>
    <t xml:space="preserve">cu01@congty.vn</t>
  </si>
  <si>
    <t xml:space="preserve">2. BE từ chối. Mã lỗi: Chờ Q-12
3. Hộp thư không nhận mã</t>
  </si>
  <si>
    <t xml:space="preserve">Ưu tiên: P2
Loại: Security, API
❓ Cần chốt: Q-12 (tên API, mã lỗi — chưa chạy được)
Nguồn: EPIC:206; US6:46; US6:61
Evidence: request/response</t>
  </si>
  <si>
    <t xml:space="preserve">[US6_17]</t>
  </si>
  <si>
    <t xml:space="preserve">Hai thiết bị cùng đăng ký một email song song: chỉ một tài khoản được tạo; thiết bị thứ hai thấy gì (chờ chốt)</t>
  </si>
  <si>
    <t xml:space="preserve">BR1 · E-01 · E-20</t>
  </si>
  <si>
    <t xml:space="preserve">PC-0; EMAIL-N2 chưa gắn tài khoản; thiết bị A (Android) và B (Web)</t>
  </si>
  <si>
    <t xml:space="preserve">1. A: màn 11 gõ EMAIL-N2, "Gửi mã xác thực" → màn 12
2. B: màn 11 gõ EMAIL-N2, bấm "Gửi mã xác thực"; ghi B thấy gì
3. A: nhập mã mới nhất trong hộp thư, "Xác nhận" → màn 13, MK, "Đăng ký" → màn 14
4. B (nếu còn ở luồng): nhập mã, "Xác nhận", MK, bấm "Đăng ký"; ghi kết quả
5. Đăng nhập EMAIL-N2 + MK; hỏi BE số tài khoản có email này</t>
  </si>
  <si>
    <t xml:space="preserve">EMAIL-N2; MK</t>
  </si>
  <si>
    <t xml:space="preserve">2. Chờ Q-06: B bị chặn (thông báo gì) hay cũng nhận mã — không có expected
4. Chờ Q-06: B bấm Đăng ký → gì — không có expected
5. Phần chắc chắn: chỉ một tài khoản có email EMAIL-N2; đăng nhập được bằng MK</t>
  </si>
  <si>
    <t xml:space="preserve">Ưu tiên: P2
Loại: Concurrency
❓ Cần chốt: Q-06
Nguồn: EPIC:96 một email một tài khoản; EPIC:165 #22 Chiến đề xuất chặn (chưa chốt); file 01 mục 8 #16
Evidence: screenshot hai thiết bị từng bước + xác nhận BE</t>
  </si>
  <si>
    <t xml:space="preserve">AC5 — Không gửi được email (không gắn BR)</t>
  </si>
  <si>
    <t xml:space="preserve">[US6_18]</t>
  </si>
  <si>
    <t xml:space="preserve">Dịch vụ gửi email thất bại thì ở lại màn 11, báo lỗi, chưa tạo gì</t>
  </si>
  <si>
    <t xml:space="preserve">— · AC5</t>
  </si>
  <si>
    <t xml:space="preserve">PC-0; EMAIL-N; Dev dựng dịch vụ gửi email trả lỗi (tắt / sai cấu hình, hoặc gắn EMAIL-N vào danh sách trả lỗi — cách dựng cần Dev xác nhận, 02 §4 d.17)</t>
  </si>
  <si>
    <t xml:space="preserve">1. Màn 11 gõ EMAIL-N, bấm "Gửi mã xác thực"
2. Quan sát màn hình và thông báo
3. Kiểm hộp thư EMAIL-N
4. Trên thiết bị khác đăng nhập thử EMAIL-N + MK</t>
  </si>
  <si>
    <t xml:space="preserve">EMAIL-N</t>
  </si>
  <si>
    <t xml:space="preserve">2. Vẫn ở màn 11 (không sang màn 12); có thông báo lỗi; còn bấm lại được "Gửi mã xác thực". Chờ Q-07: nguyên văn thông báo
3. Hộp thư không có mã
4. Không đăng nhập được (tài khoản chưa tồn tại)</t>
  </si>
  <si>
    <t xml:space="preserve">Ưu tiên: P1
Loại: Exception
Nguồn: US6:62 "Không gửi được email → Báo lỗi, cho thử lại"; user flow US6:21 nhánh "Không" trước màn 12; 02 §4 d.17 [NGUỒN] ở màn 11
Nguyên văn: Chờ Q-07; cách dựng lỗi: Debate #2 (file 03 mục 11)
Evidence: screenshot + hộp thư</t>
  </si>
  <si>
    <t xml:space="preserve">[US6_19]</t>
  </si>
  <si>
    <t xml:space="preserve">Thử lại sau lỗi gửi: bấm lại "Gửi mã xác thực" khi dịch vụ đã phục hồi thì nhận mã; có cooldown / tính lượt không (chờ chốt)</t>
  </si>
  <si>
    <t xml:space="preserve">— · AC5 · E-10</t>
  </si>
  <si>
    <t xml:space="preserve">Vừa chạy [US6_18] đang ở màn 11 với thông báo lỗi; Dev phục hồi dịch vụ gửi email</t>
  </si>
  <si>
    <t xml:space="preserve">1. Bấm lại "Gửi mã xác thực" ngay (không chờ 60 s); ghi giờ
2. Quan sát màn hình
3. Kiểm hộp thư EMAIL-N
4. Hỏi BE bộ đếm lượt gửi của EMAIL-N sau hai lần bấm</t>
  </si>
  <si>
    <t xml:space="preserve">2. Chờ Q-02: sang màn 12 ngay (phương án Hồng tạm theo: không cooldown) hay bị chờ 60 s — không có expected
3. Phần chắc chắn ("cho thử lại"): sau khi thử lại thành công, hộp thư nhận email có mã
4. Chờ Q-02: lần thất bại có tính lượt US2 không</t>
  </si>
  <si>
    <t xml:space="preserve">Ưu tiên: P2
Loại: Exception &amp; recovery
❓ Cần chốt: Q-02
Nguồn: US6:62 "cho thử lại"; US2:46-47 cooldown và số lần gửi; 02 §4 d.17 [GIẢ ĐỊNH] không cooldown / không tính lượt
Evidence: screenshot + giờ bấm + hộp thư</t>
  </si>
  <si>
    <t xml:space="preserve">AC6 / E-15 / E-16 — Màn 12 và email OTP (không gắn BR)</t>
  </si>
  <si>
    <t xml:space="preserve">[US6_20]</t>
  </si>
  <si>
    <t xml:space="preserve">Màn 12 hiện email che một phần, nút "Đổi email", gợi ý Spam và nút "Gửi lại mã" mờ đếm ngược 60 giây</t>
  </si>
  <si>
    <t xml:space="preserve">— · AC6 · E-15</t>
  </si>
  <si>
    <t xml:space="preserve">PC-0; vừa qua [US6_09] đang ở màn 12</t>
  </si>
  <si>
    <t xml:space="preserve">1. Quan sát dòng thông báo mã đã gửi và địa chỉ email trên màn 12
2. Tìm nút "Đổi email"
3. Tìm gợi ý kiểm tra Spam/Quảng cáo
4. Quan sát nút "Gửi lại mã" ngay sau khi vào màn và sau 60 giây</t>
  </si>
  <si>
    <t xml:space="preserve">1. Email hiện che một phần (không hiện đầy đủ qa.moi01@congty.vn). Mẫu che cụ thể: Chờ Q-09
2. Có nút "Đổi email"
3. Có gợi ý kiểm tra hộp thư Spam/Quảng cáo
4. Nút "Gửi lại mã" mờ, đếm ngược 60 giây về 00:00 rồi mới bấm được</t>
  </si>
  <si>
    <t xml:space="preserve">Ưu tiên: P1
Loại: UI, Android + Web
Nguồn: US6:64 "màn OTP hiện email che một phần, nút Đổi email, gợi ý kiểm tra Spam"; US2:56; US2:59 "Nút "Gửi lại mã" mờ, đếm ngược 60 giây"; EPIC:90 cùng màn OTP
Mẫu che: Chờ Q-09 (02 §4 d.11 tạm theo US4 Q-13 [GIẢ ĐỊNH])
Evidence: screenshot màn 12 lúc vào và sau 60 s</t>
  </si>
  <si>
    <t xml:space="preserve">[US6_21]</t>
  </si>
  <si>
    <t xml:space="preserve">Email OTP đăng ký có tên Gopany, mã, thời hạn, lời nhắc; không có nút/liên kết; tiêu đề chứa mã</t>
  </si>
  <si>
    <t xml:space="preserve">— · AC6 · E-16</t>
  </si>
  <si>
    <t xml:space="preserve">Đã nhận email theo [US6_09]</t>
  </si>
  <si>
    <t xml:space="preserve">1. Mở email OTP vừa nhận, đọc tiêu đề
2. Đọc nội dung: tên người gửi / thương hiệu, mã, thời hạn, lời nhắc
3. Tìm nút hoặc liên kết trong email</t>
  </si>
  <si>
    <t xml:space="preserve">Email OTP của [US6_09]</t>
  </si>
  <si>
    <t xml:space="preserve">1. Tiêu đề chứa mã OTP
2. Email có tên Gopany, mã xác thực, thời hạn hiệu lực và lời nhắc không chia sẻ mã
3. Không có nút/liên kết</t>
  </si>
  <si>
    <t xml:space="preserve">Ưu tiên: P2
Loại: Integration email; chi tiết mẫu 23 kiểm ở case dùng chung US2 AC3
Nguồn: US2:38 "Email gửi mã OTP: đăng ký (US6)… – không có nút/liên kết, tiêu đề chứa mã"; US2:57 "Email có tên Gopany, mã xác thực, thời hạn hiệu lực và lời nhắc không chia sẻ mã"; EPIC:121; 02 §4 d.11
Evidence: ảnh email đầy đủ</t>
  </si>
  <si>
    <t xml:space="preserve">AC7 — Màn 12 hành xử theo US2 với kênh email (không gắn BR)</t>
  </si>
  <si>
    <t xml:space="preserve">[US6_22]</t>
  </si>
  <si>
    <t xml:space="preserve">Nhập sai mã OTP thì báo "Mã OTP không đúng", hiện số lần thử còn lại, không sang màn 13</t>
  </si>
  <si>
    <t xml:space="preserve">— · AC7 · US2 AC7</t>
  </si>
  <si>
    <t xml:space="preserve">PC-0; đang ở màn 12 với mã còn hạn (theo [US6_09])</t>
  </si>
  <si>
    <t xml:space="preserve">1. Nhập 000000 (mã sai), bấm "Xác nhận"
2. Quan sát thông báo và màn hình
3. Nhập đúng mã trong hộp thư, bấm "Xác nhận"</t>
  </si>
  <si>
    <t xml:space="preserve">000000 · mã đúng</t>
  </si>
  <si>
    <t xml:space="preserve">2. Báo "Mã OTP không đúng", hiện số lần thử còn lại; vẫn ở màn 12
3. Sang màn 13 (mã đúng vẫn dùng được sau một lần sai)</t>
  </si>
  <si>
    <t xml:space="preserve">Ưu tiên: P1
Loại: Negative, dùng chung US2
Nguồn: US6:65 "Nhập sai / hết hạn / gửi quá nhiều → Theo US2"; US2:63 "Nhập sai mã, chưa quá số lần cho phép → Báo "Mã OTP không đúng", hiện số lần thử còn lại"
Evidence: screenshot</t>
  </si>
  <si>
    <t xml:space="preserve">[US6_23]</t>
  </si>
  <si>
    <t xml:space="preserve">Nhập mã sau hơn 5 phút kể từ lúc gửi thì báo "Mã đã hết hạn" và hướng dẫn gửi lại</t>
  </si>
  <si>
    <t xml:space="preserve">— · AC7 · US2 AC9 · E-10</t>
  </si>
  <si>
    <t xml:space="preserve">PC-0; vừa nhận mã theo [US6_09], ghi giờ gửi</t>
  </si>
  <si>
    <t xml:space="preserve">1. Chờ tới hơn 5 phút kể từ giờ gửi (vd 5 phút 30 giây)
2. Nhập mã đó, bấm "Xác nhận"
3. Quan sát thông báo</t>
  </si>
  <si>
    <t xml:space="preserve">Mã OTP đã quá 5 phút</t>
  </si>
  <si>
    <t xml:space="preserve">2. Báo "Mã đã hết hạn", có hướng dẫn gửi lại mã mới; vẫn ở màn 12
3. Không sang màn 13</t>
  </si>
  <si>
    <t xml:space="preserve">Ưu tiên: P1
Loại: Negative, dùng chung US2
Nguồn: US2:45 "OTP có hiệu lực 5 phút kể từ lúc gửi"; US2:65 "Nhập mã sau hơn 5 phút → Báo "Mã đã hết hạn", hướng dẫn gửi lại mã mới"; US6:65
Evidence: screenshot + giờ gửi/nhập</t>
  </si>
  <si>
    <t xml:space="preserve">[US6_24]</t>
  </si>
  <si>
    <t xml:space="preserve">Hết 60 giây bấm "Gửi lại mã" thì nhận mã mới qua email, mã cũ hết hiệu lực, đếm ngược chạy lại</t>
  </si>
  <si>
    <t xml:space="preserve">— · AC7 · US2 AC5 · E-10</t>
  </si>
  <si>
    <t xml:space="preserve">PC-0; đang ở màn 12 (theo [US6_09]), đã có mã 1</t>
  </si>
  <si>
    <t xml:space="preserve">1. Chờ đếm ngược về 00:00, bấm "Gửi lại mã"
2. Quan sát nút "Gửi lại mã"; kiểm hộp thư lấy mã 2
3. Nhập mã 1 (cũ), bấm "Xác nhận"
4. Nhập mã 2, bấm "Xác nhận"</t>
  </si>
  <si>
    <t xml:space="preserve">Mã 1 · mã 2</t>
  </si>
  <si>
    <t xml:space="preserve">2. Đếm ngược chạy lại từ 60 giây; hộp thư nhận email mới với mã 2 ≠ mã 1
3. Báo mã không đúng (mã cũ hết hiệu lực); vẫn ở màn 12
4. Sang màn 13</t>
  </si>
  <si>
    <t xml:space="preserve">Ưu tiên: P1
Loại: Positive, dùng chung US2
Nguồn: US2:60 "Hết thời gian chờ, bấm "Gửi lại mã" → Gửi mã mới cùng kênh; mã cũ hết hiệu lực; đếm ngược lại từ đầu"; US2:64 nhập mã cũ → báo mã không đúng; US2:46
Evidence: ảnh hai email + screenshot</t>
  </si>
  <si>
    <t xml:space="preserve">[US6_25]</t>
  </si>
  <si>
    <t xml:space="preserve">Gửi mã quá số lần cho phép thì không gửi, báo thời điểm được gửi lại (precondition chờ con số US2)</t>
  </si>
  <si>
    <t xml:space="preserve">— · AC7 · US2 AC6 · E-10</t>
  </si>
  <si>
    <t xml:space="preserve">PC-0; cần con số "tối đa [__] lần/[__] giờ" của US2 BR4 (Q-11); EMAIL-N2 chưa chạm giới hạn</t>
  </si>
  <si>
    <t xml:space="preserve">1. Ở màn 12 với EMAIL-N2 bấm "Gửi lại mã" mỗi khi hết đếm ngược cho tới khi vượt số lần cho phép
2. Quan sát thông báo ở lần vượt
3. Kiểm hộp thư sau lần vượt</t>
  </si>
  <si>
    <t xml:space="preserve">EMAIL-N2</t>
  </si>
  <si>
    <t xml:space="preserve">2. Không gửi; báo thời điểm được gửi lại (dạng "thử lại sau HH:MM")
3. Không có email mã mới. Số lần để tới bước 2: Chờ Q-11</t>
  </si>
  <si>
    <t xml:space="preserve">Ưu tiên: P2
Loại: Negative, dùng chung US2
❓ Cần chốt: Q-11 (con số — chưa dựng được precondition)
Nguồn: US2:47 "Tối đa [__] lần gửi trong [__] giờ"; US2:61 "Vượt số lần gửi cho phép → Không gửi; báo thời điểm được gửi lại (VD: "thử lại sau 14:30")"; US6:65
Evidence: screenshot</t>
  </si>
  <si>
    <t xml:space="preserve">AC8 — Nhập đúng OTP (không gắn BR)</t>
  </si>
  <si>
    <t xml:space="preserve">[US6_26]</t>
  </si>
  <si>
    <t xml:space="preserve">Nhập đúng OTP thì sang màn 13 hiện đúng email vừa xác thực với nhãn "Đã xác thực"</t>
  </si>
  <si>
    <t xml:space="preserve">— · AC8</t>
  </si>
  <si>
    <t xml:space="preserve">1. Nhập đúng mã trong hộp thư EMAIL-N, bấm "Xác nhận"
2. Quan sát màn hình mở ra
3. Quan sát dòng email và nhãn trên màn 13</t>
  </si>
  <si>
    <t xml:space="preserve">Mã OTP đúng</t>
  </si>
  <si>
    <t xml:space="preserve">2. Sang màn 13 (Tạo mật khẩu) với hai ô Mật khẩu và Xác nhận mật khẩu
3. Hiện đúng qa.moi01@congty.vn kèm nhãn "Đã xác thực"</t>
  </si>
  <si>
    <t xml:space="preserve">Ưu tiên: P1
Loại: Functional
Nguồn: US6:66 "Nhập đúng OTP → Sang bước tạo mật khẩu, email hiện "Đã xác thực""; wireframe màn 13 US6:29; 02 §4 d.12
Evidence: screenshot màn 13</t>
  </si>
  <si>
    <t xml:space="preserve">BR2 — Chỉ tạo tài khoản khi đã xác thực OTP, mật khẩu hợp lệ và hai ô khớp</t>
  </si>
  <si>
    <t xml:space="preserve">[US6_27]</t>
  </si>
  <si>
    <t xml:space="preserve">Bỏ ngang ở màn 13 (đã xác thực OTP) thì tài khoản chưa tồn tại: không đăng nhập được, email vẫn đăng ký lại được</t>
  </si>
  <si>
    <t xml:space="preserve">BR2 · AC8 · E-06</t>
  </si>
  <si>
    <t xml:space="preserve">PC-0; đang ở màn 13 với EMAIL-N "Đã xác thực" (theo [US6_26]); thiết bị B khác</t>
  </si>
  <si>
    <t xml:space="preserve">1. Trên thiết bị A tắt hẳn app / đóng tab ở màn 13 (không bấm Đăng ký)
2. Thiết bị B: màn 01 đăng nhập EMAIL-N + MK
3. Thiết bị B: vào màn 11 gõ EMAIL-N, bấm "Gửi mã xác thực"
4. Kiểm hộp thư EMAIL-N</t>
  </si>
  <si>
    <t xml:space="preserve">EMAIL-N; MK</t>
  </si>
  <si>
    <t xml:space="preserve">2. Không đăng nhập được (tài khoản chưa tồn tại)
3. Không bị chặn như AC4: sang màn 12
4. Hộp thư nhận mã OTP mới (email chưa gắn tài khoản nào)</t>
  </si>
  <si>
    <t xml:space="preserve">Ưu tiên: P1
Loại: Data integrity
Nguồn: US6:47 "Chỉ tạo tài khoản khi đã xác thực OTP, mật khẩu hợp lệ…"; EPIC:106 "Bỏ ngang sau OTP → chưa tạo tài khoản"; wireframe màn 13 "Bỏ ngang ở bước này: chưa tạo tài khoản"; 02 §4 d.12
Về màn nào khi mở lại thiết bị A: Chờ Q-04 ([US6_58])
Evidence: screenshot thiết bị B</t>
  </si>
  <si>
    <t xml:space="preserve">[US6_28]</t>
  </si>
  <si>
    <t xml:space="preserve">BE giữ BR2 khi gọi API tạo tài khoản bỏ qua FE: chưa verify OTP / mật khẩu không đạt / không khớp đều bị từ chối</t>
  </si>
  <si>
    <t xml:space="preserve">BR2 · E-13</t>
  </si>
  <si>
    <t xml:space="preserve">PC-0; biết API tạo tài khoản và payload (Q-12); EMAIL-N2 chưa gắn tài khoản, chưa verify OTP</t>
  </si>
  <si>
    <t xml:space="preserve">1. Gọi API tạo tài khoản với EMAIL-N2 + MK (chưa verify OTP)
2. Verify OTP cho EMAIL-N2 qua UI tới màn 13, rồi gọi API tạo tài khoản với mật khẩu gopanyyyyy / xác nhận gopanyyyyy
3. Gọi API với mật khẩu MK / xác nhận Gopany@124
4. Đăng nhập thử EMAIL-N2 với từng mật khẩu đã gửi</t>
  </si>
  <si>
    <t xml:space="preserve">EMAIL-N2; MK; gopanyyyyy; Gopany@124</t>
  </si>
  <si>
    <t xml:space="preserve">1. BE từ chối, không tạo tài khoản. Mã lỗi: Chờ Q-12
2. BE từ chối (mật khẩu không đạt quy định)
3. BE từ chối (hai ô không khớp)
4. Không đăng nhập được bằng bất kỳ mật khẩu nào — chưa có tài khoản</t>
  </si>
  <si>
    <t xml:space="preserve">Ưu tiên: P1
Loại: Security, API
❓ Cần chốt: Q-12 (tên API, payload, mã lỗi — chưa chạy được)
Nguồn: US6:47; EPIC:206 "BE kiểm tra lại toàn bộ + quy tắc nghiệp vụ"; file 01 mục 8 #12
Evidence: request/response từng bước</t>
  </si>
  <si>
    <t xml:space="preserve">[US6_29]</t>
  </si>
  <si>
    <t xml:space="preserve">Đứng lâu ở màn 13 sau khi OTP đúng rồi mới bấm Đăng ký: có tạo tài khoản không (chờ chốt)</t>
  </si>
  <si>
    <t xml:space="preserve">BR2 · AC10</t>
  </si>
  <si>
    <t xml:space="preserve">PC-0; EMAIL-N2; đã nhập đúng OTP ở phút thứ 4 kể từ gửi mã (theo [US6_26]), đang ở màn 13</t>
  </si>
  <si>
    <t xml:space="preserve">1. Giữ màn 13 không thao tác 20 phút (app ở foreground, không khóa máy)
2. Gõ MK vào hai ô, bấm "Đăng ký"
3. Quan sát kết quả</t>
  </si>
  <si>
    <t xml:space="preserve">3. Chờ Q-03: tạo tài khoản → màn 14 (phương án Hồng tạm theo: không giới hạn) hay bị từ chối (về màn nào, thông báo gì) — không có expected</t>
  </si>
  <si>
    <t xml:space="preserve">Ưu tiên: P2
Loại: Boundary thời gian
❓ Cần chốt: Q-03
Nguồn: US6:47, US6:66 không ghi thời hạn; US2:45 5 phút chỉ là hạn nhập mã; đối chiếu US4:53 (US4 có 10 phút); 02 §4 d.16 [GIẢ ĐỊNH]
Evidence: screenshot + giờ verify / giờ bấm Đăng ký</t>
  </si>
  <si>
    <t xml:space="preserve">BR2 / AC9 — Quy định mật khẩu (E-09) và hai ô khớp</t>
  </si>
  <si>
    <t xml:space="preserve">[US6_30]</t>
  </si>
  <si>
    <t xml:space="preserve">Mật khẩu đúng 8 ký tự có chữ và số được chấp nhận, tạo tài khoản</t>
  </si>
  <si>
    <t xml:space="preserve">BR2 · AC10 · E-09</t>
  </si>
  <si>
    <t xml:space="preserve">PC-0; EMAIL-N (mới, chưa gắn tài khoản) đang ở màn 13 "Đã xác thực"</t>
  </si>
  <si>
    <t xml:space="preserve">1. Gõ Gopany12 vào ô Mật khẩu và ô Xác nhận mật khẩu
2. Bấm "Đăng ký"
3. Trên thiết bị khác đăng nhập EMAIL-N + Gopany12</t>
  </si>
  <si>
    <t xml:space="preserve">Gopany12 (8 ký tự)</t>
  </si>
  <si>
    <t xml:space="preserve">2. Không báo lỗi; sang màn 14 "Đăng ký thành công"
3. Đăng nhập được</t>
  </si>
  <si>
    <t xml:space="preserve">Ưu tiên: P1
Loại: Boundary (8)
Nguồn: US6:69 "Mật khẩu hợp lệ, bấm Đăng ký → Tạo tài khoản"; quy định 8–16 ký tự, ≥1 chữ và ≥1 số US4-AS Q-01 [ĐÃ XÁC NHẬN] (mẫu đạt "đúng 8"); 02 §4 d.13
Evidence: screenshot màn 14 + đăng nhập</t>
  </si>
  <si>
    <t xml:space="preserve">[US6_31]</t>
  </si>
  <si>
    <t xml:space="preserve">Mật khẩu đúng 16 ký tự được chấp nhận, tạo tài khoản</t>
  </si>
  <si>
    <t xml:space="preserve">PC-0; EMAIL-N (mới) đang ở màn 13</t>
  </si>
  <si>
    <t xml:space="preserve">1. Gõ Gopany1234567890 vào hai ô
2. Bấm "Đăng ký"
3. Trên thiết bị khác đăng nhập EMAIL-N + mật khẩu đó</t>
  </si>
  <si>
    <t xml:space="preserve">Gopany1234567890 (16 ký tự)</t>
  </si>
  <si>
    <t xml:space="preserve">2. Sang màn 14
3. Đăng nhập được</t>
  </si>
  <si>
    <t xml:space="preserve">Ưu tiên: P1
Loại: Boundary (16)
Nguồn: US6:69; US4-AS Q-01 (mẫu đạt "đúng 16"); 02 §4 d.13
Evidence: screenshot + đăng nhập</t>
  </si>
  <si>
    <t xml:space="preserve">[US6_32]</t>
  </si>
  <si>
    <t xml:space="preserve">Mật khẩu có ký tự đặc biệt và khoảng trắng ở giữa vẫn đạt quy định, tạo tài khoản và đăng nhập được</t>
  </si>
  <si>
    <t xml:space="preserve">1. Gõ Gopany 123 vào hai ô
2. Bấm "Đăng ký"
3. Trên thiết bị khác đăng nhập EMAIL-N + Gopany 123 (có khoảng trắng)</t>
  </si>
  <si>
    <t xml:space="preserve">Gopany 123</t>
  </si>
  <si>
    <t xml:space="preserve">2. Sang màn 14
3. Đăng nhập được với đúng chuỗi có khoảng trắng</t>
  </si>
  <si>
    <t xml:space="preserve">Ưu tiên: P2
Loại: Positive, ký tự khác cho phép
Nguồn: US4-AS Q-01 "ký tự khác cho phép"; 02 §4 d.13 (mẫu đạt "Gopany 123" theo US4-AS §4 d.19); US6:69
Evidence: screenshot + đăng nhập</t>
  </si>
  <si>
    <t xml:space="preserve">[US6_33]</t>
  </si>
  <si>
    <t xml:space="preserve">Mật khẩu chỉ có chữ, không có số bị báo lỗi tại ô Mật khẩu, chưa tạo tài khoản</t>
  </si>
  <si>
    <t xml:space="preserve">BR2 · AC9 · E-09</t>
  </si>
  <si>
    <t xml:space="preserve">PC-0; EMAIL-N2 đang ở màn 13</t>
  </si>
  <si>
    <t xml:space="preserve">1. Gõ gopanyyyyy vào hai ô
2. Bấm "Đăng ký"
3. Quan sát vị trí lỗi và màn hình
4. Trên thiết bị khác đăng nhập EMAIL-N2 + gopanyyyyy</t>
  </si>
  <si>
    <t xml:space="preserve">gopanyyyyy (10 chữ, 0 số)</t>
  </si>
  <si>
    <t xml:space="preserve">3. Lỗi hiện tại ô Mật khẩu; vẫn ở màn 13; không sang màn 14. Chờ Q-07: nguyên văn thông báo
4. Không đăng nhập được — chưa tạo tài khoản</t>
  </si>
  <si>
    <t xml:space="preserve">Ưu tiên: P1
Loại: Validation
Nguồn: US6:68 "Mật khẩu không đạt quy định… → Báo lỗi tại ô tương ứng…, chưa tạo tài khoản"; US4-AS Q-01 (mẫu rớt "gopanyyyyy"); 02 §4 d.13
Nguyên văn lỗi: Chờ Q-07
Evidence: screenshot</t>
  </si>
  <si>
    <t xml:space="preserve">[US6_34]</t>
  </si>
  <si>
    <t xml:space="preserve">Mật khẩu chỉ có số, không có chữ bị báo lỗi tại ô Mật khẩu</t>
  </si>
  <si>
    <t xml:space="preserve">1. Gõ 12345678 vào hai ô
2. Bấm "Đăng ký"
3. Quan sát lỗi</t>
  </si>
  <si>
    <t xml:space="preserve">12345678 (8 số, 0 chữ)</t>
  </si>
  <si>
    <t xml:space="preserve">3. Lỗi tại ô Mật khẩu; vẫn ở màn 13; chưa tạo tài khoản. Chờ Q-07: nguyên văn</t>
  </si>
  <si>
    <t xml:space="preserve">Ưu tiên: P1
Loại: Validation
Nguồn: US6:68; US4-AS Q-01 (mẫu rớt "12345678"); 02 §4 d.13
Chờ Q-07
Evidence: screenshot</t>
  </si>
  <si>
    <t xml:space="preserve">[US6_35]</t>
  </si>
  <si>
    <t xml:space="preserve">Mật khẩu 7 ký tự (dưới biên 8) bị báo lỗi tại ô Mật khẩu</t>
  </si>
  <si>
    <t xml:space="preserve">1. Gõ Gopany1 vào hai ô
2. Bấm "Đăng ký"
3. Quan sát lỗi</t>
  </si>
  <si>
    <t xml:space="preserve">Gopany1 (7 ký tự, có chữ và số)</t>
  </si>
  <si>
    <t xml:space="preserve">3. Lỗi tại ô Mật khẩu; chưa tạo tài khoản. Chờ Q-07: nguyên văn</t>
  </si>
  <si>
    <t xml:space="preserve">Ưu tiên: P1
Loại: Boundary (8−1)
Nguồn: US6:68; US4-AS Q-01 (mẫu rớt 7 ký tự); wireframe màn 13 "Tối thiểu [__] ký tự"
Chờ Q-07
Evidence: screenshot</t>
  </si>
  <si>
    <t xml:space="preserve">[US6_36]</t>
  </si>
  <si>
    <t xml:space="preserve">Mật khẩu 17 ký tự (trên biên 16) bị báo lỗi tại ô Mật khẩu</t>
  </si>
  <si>
    <t xml:space="preserve">1. Gõ Gopany12345678901 vào hai ô
2. Bấm "Đăng ký"
3. Quan sát lỗi; ghi nhận nếu ô chặn không cho gõ ký tự thứ 17</t>
  </si>
  <si>
    <t xml:space="preserve">Gopany12345678901 (17 ký tự)</t>
  </si>
  <si>
    <t xml:space="preserve">3. Lỗi tại ô Mật khẩu (hoặc ô không nhận ký tự thứ 17 — ghi rõ cách nào); chưa tạo tài khoản. Chờ Q-07: nguyên văn</t>
  </si>
  <si>
    <t xml:space="preserve">Ưu tiên: P1
Loại: Boundary (16+1)
Nguồn: US6:68; US4-AS Q-01 (mẫu rớt 17 ký tự)
Chờ Q-07
Evidence: screenshot</t>
  </si>
  <si>
    <t xml:space="preserve">[US6_37]</t>
  </si>
  <si>
    <t xml:space="preserve">Ô Xác nhận mật khẩu không khớp ô Mật khẩu thì báo "Mật khẩu xác nhận không khớp." tại ô Xác nhận, chưa tạo tài khoản</t>
  </si>
  <si>
    <t xml:space="preserve">BR2 · AC9 · E-05</t>
  </si>
  <si>
    <t xml:space="preserve">1. Gõ Gopany@123 vào ô Mật khẩu, Gopany@124 vào ô Xác nhận mật khẩu
2. Bấm "Đăng ký"
3. Quan sát vị trí và nội dung lỗi
4. Trên thiết bị khác đăng nhập EMAIL-N2 + Gopany@123</t>
  </si>
  <si>
    <t xml:space="preserve">Gopany@123 / Gopany@124</t>
  </si>
  <si>
    <t xml:space="preserve">3. Lỗi hiện tại ô Xác nhận mật khẩu với nguyên văn "Mật khẩu xác nhận không khớp."; vẫn ở màn 13
4. Không đăng nhập được — chưa tạo tài khoản</t>
  </si>
  <si>
    <t xml:space="preserve">Ưu tiên: P1
Loại: Validation
Nguồn: US6:68 "ô Xác nhận mật khẩu không khớp → Báo lỗi tại ô tương ứng ("Mật khẩu xác nhận không khớp."), chưa tạo tài khoản"; EPIC:105; 02 §4 d.13
Evidence: screenshot</t>
  </si>
  <si>
    <t xml:space="preserve">BR3 — Không nhập họ tên, SĐT; họ tên = email đăng ký; hai ô mật khẩu, mỗi ô nút Hiện</t>
  </si>
  <si>
    <t xml:space="preserve">[US6_38]</t>
  </si>
  <si>
    <t xml:space="preserve">Màn 11–13 không có ô Họ tên / SĐT; màn 13 có đúng hai ô mật khẩu, mỗi ô một nút "Hiện"</t>
  </si>
  <si>
    <t xml:space="preserve">BR3 · E-05</t>
  </si>
  <si>
    <t xml:space="preserve">PC-0; EMAIL-N; đi từ màn 11 tới màn 13</t>
  </si>
  <si>
    <t xml:space="preserve">1. Ở màn 11 tab Email quan sát các ô nhập
2. Ở màn 12 quan sát các ô nhập
3. Ở màn 13 đếm ô nhập và nút trên mỗi ô</t>
  </si>
  <si>
    <t xml:space="preserve">1. Chỉ có ô Email, không có ô Họ tên / SĐT
2. Chỉ có ô nhập mã OTP, không có ô Họ tên / SĐT
3. Đúng 2 ô: "Mật khẩu" và "Xác nhận mật khẩu", mỗi ô có nút "Hiện" riêng; không có ô Họ tên / SĐT; có nút "Đăng ký"</t>
  </si>
  <si>
    <t xml:space="preserve">Ưu tiên: P1
Loại: UI, Android + Web
Nguồn: US6:48 "Không nhập họ tên, SĐT… Bước 3 có 2 ô: Mật khẩu và Xác nhận mật khẩu, mỗi ô có nút Hiện"; EPIC:104-105; 02 §4 d.1, d.3
Evidence: screenshot 3 màn</t>
  </si>
  <si>
    <t xml:space="preserve">[US6_39]</t>
  </si>
  <si>
    <t xml:space="preserve">Bấm "Hiện" ở từng ô mật khẩu thì ô đó hiện rõ ký tự, bấm lại thì che</t>
  </si>
  <si>
    <t xml:space="preserve">1. Gõ MK vào ô Mật khẩu, quan sát ký tự
2. Bấm "Hiện" của ô Mật khẩu
3. Bấm lại "Hiện" của ô Mật khẩu
4. Gõ MK vào ô Xác nhận mật khẩu, bấm "Hiện" của ô này</t>
  </si>
  <si>
    <t xml:space="preserve">MK</t>
  </si>
  <si>
    <t xml:space="preserve">1. Ký tự mặc định bị che
2. Ô Mật khẩu hiện rõ Gopany@123
3. Ô Mật khẩu che lại
4. Ô Xác nhận mật khẩu hiện rõ ký tự của chính nó</t>
  </si>
  <si>
    <t xml:space="preserve">Ưu tiên: P2
Loại: UI
Nguồn: US6:48 "mỗi ô có nút Hiện"; EPIC:105; 02 §4 d.1 (hai nút riêng [NGUỒN])
Ô kia có hiện theo không: nhóm B [US6_63] (02 §4 d.1 [DIỄN GIẢI AI])
Evidence: screenshot trước/sau bấm Hiện</t>
  </si>
  <si>
    <t xml:space="preserve">[US6_40]</t>
  </si>
  <si>
    <t xml:space="preserve">Tên hiển thị sau đăng ký = email đăng ký trên màn 14 và họ tên trong Thông tin tài khoản</t>
  </si>
  <si>
    <t xml:space="preserve">BR3 · AC10 · E-04</t>
  </si>
  <si>
    <t xml:space="preserve">PC-0; EMAIL-N (mới, gõ toàn chữ thường) vừa bấm "Đăng ký" thành công</t>
  </si>
  <si>
    <t xml:space="preserve">1. Quan sát màn 14: dòng tên hiển thị và gợi ý đổi tên
2. Bấm "Bắt đầu sử dụng", vào Tài khoản › Thông tin tài khoản
3. Đọc trường họ tên</t>
  </si>
  <si>
    <t xml:space="preserve">1. Tên hiển thị = qa.moi01@congty.vn; có gợi ý đổi tên trong Thông tin tài khoản
3. Họ tên = qa.moi01@congty.vn</t>
  </si>
  <si>
    <t xml:space="preserve">Ưu tiên: P1
Loại: Data integrity
Nguồn: US6:48 "họ tên tự tạo = email đăng ký (VD: nguyenvana@congty.vn)"; US6:69 "tên hiển thị = email đăng ký + gợi ý đổi tên"; EPIC:104, EPIC:209 chốt 12/10; US5:66
Chữ hoa/thường: [US6_43] (Q-08)
Evidence: screenshot màn 14 + Thông tin tài khoản</t>
  </si>
  <si>
    <t xml:space="preserve">[US6_41]</t>
  </si>
  <si>
    <t xml:space="preserve">Sửa được họ tên tự tạo trong Thông tin tài khoản (smoke, ranh giới với US5)</t>
  </si>
  <si>
    <t xml:space="preserve">BR3 · US5 AC3</t>
  </si>
  <si>
    <t xml:space="preserve">Đã đăng nhập bằng tài khoản mới (theo [US6_40]), đang ở Thông tin tài khoản</t>
  </si>
  <si>
    <t xml:space="preserve">1. Bấm sửa họ tên, đổi thành Nguyen Van A, lưu
2. Quan sát họ tên sau lưu
3. Mở lại Thông tin tài khoản</t>
  </si>
  <si>
    <t xml:space="preserve">Nguyen Van A</t>
  </si>
  <si>
    <t xml:space="preserve">2. Lưu được, họ tên hiện Nguyen Van A
3. Vẫn Nguyen Van A</t>
  </si>
  <si>
    <t xml:space="preserve">Ưu tiên: P2
Loại: Smoke; quy tắc sửa tên (không để trống, hiện mọi nơi) thuộc US5 AC3, không lặp
Nguồn: US6:48 "sửa được trong Thông tin tài khoản (US5)"; US5:67 "Sửa họ tên và lưu → Lưu, tên mới hiện ngay ở mọi nơi"; 02 §4 d.3
Evidence: screenshot</t>
  </si>
  <si>
    <t xml:space="preserve">[US6_42]</t>
  </si>
  <si>
    <t xml:space="preserve">Đổi email ở màn 12 rồi xác thực bằng email khác thì tài khoản và tên hiển thị theo email đã qua OTP; email đầu vẫn đăng ký được</t>
  </si>
  <si>
    <t xml:space="preserve">BR3 · AC6 · BR1</t>
  </si>
  <si>
    <t xml:space="preserve">PC-0; EMAIL-N và EMAIL-N2 đều chưa gắn tài khoản; hai hộp thư mở sẵn</t>
  </si>
  <si>
    <t xml:space="preserve">1. Màn 11 gõ EMAIL-N, "Gửi mã xác thực" → màn 12
2. Bấm "Đổi email"; quan sát màn hình và ô Email
3. Gõ EMAIL-N2, "Gửi mã xác thực"; nhập mã từ hộp thư EMAIL-N2, "Xác nhận"
4. Quan sát email trên màn 13; gõ MK hai ô, "Đăng ký"; đọc tên hiển thị màn 14
5. Đăng xuất; màn 11 gõ EMAIL-N, "Gửi mã xác thực"</t>
  </si>
  <si>
    <t xml:space="preserve">EMAIL-N; EMAIL-N2; MK</t>
  </si>
  <si>
    <t xml:space="preserve">2. Về màn nhập email (màn 11). Ô Email điền sẵn hay trống: Chờ Q-09
3. Sang màn 13
4. Màn 13 hiện qa.moi02@congty.vn "Đã xác thực"; màn 14 tên hiển thị = qa.moi02@congty.vn
5. EMAIL-N không bị chặn (sang màn 12) — chưa gắn tài khoản nào</t>
  </si>
  <si>
    <t xml:space="preserve">Ưu tiên: P1
Loại: Functional, Data integrity
Nguồn: US6:47; US6:48; US6:64 nút Đổi email; EPIC:98 email chỉ lưu sau xác thực; 02 §4 d.2 [NGUỒN]
Điền sẵn / trống: Chờ Q-09
Evidence: screenshot màn 11 sau Đổi email, màn 13, màn 14, màn 12 bước 5</t>
  </si>
  <si>
    <t xml:space="preserve">[US6_43]</t>
  </si>
  <si>
    <t xml:space="preserve">Email gõ có chữ hoa: đăng nhập được bằng cả hai dạng; tên hiển thị và email lưu giữ dạng nào (chờ chốt)</t>
  </si>
  <si>
    <t xml:space="preserve">BR3 · E-02</t>
  </si>
  <si>
    <t xml:space="preserve">PC-0; hộp thư qa.moi04@congty.vn chưa gắn tài khoản</t>
  </si>
  <si>
    <t xml:space="preserve">1. Màn 11 gõ QA.Moi04@Congty.VN, "Gửi mã xác thực"; nhập mã, "Xác nhận"
2. Quan sát email trên màn 13; gõ MK hai ô, "Đăng ký"; đọc tên hiển thị màn 14
3. Mở Thông tin tài khoản, đọc họ tên và email
4. Đăng xuất; đăng nhập bằng qa.moi04@congty.vn + MK; rồi bằng QA.MOI04@CONGTY.VN + MK</t>
  </si>
  <si>
    <t xml:space="preserve">QA.Moi04@Congty.VN; MK</t>
  </si>
  <si>
    <t xml:space="preserve">1. Không bị báo sai định dạng; sang màn 12 rồi màn 13 (chữ hoa là hợp lệ, so khớp không phân biệt hoa/thường)
2. Chờ Q-08: tên hiển thị giữ QA.Moi04@Congty.VN hay về chữ thường — không có expected
3. Chờ Q-08: email lưu dạng nào
4. Phần chắc chắn: cả hai lần đăng nhập đều vào đúng tài khoản này</t>
  </si>
  <si>
    <t xml:space="preserve">Ưu tiên: P2
Loại: Data integrity
❓ Cần chốt: Q-08 — chỉ còn phần dạng lưu tên hiển thị / email (hoa/thường); phần khoảng trắng đầu/cuối tự cắt và hoa/thường khi kiểm trùng đã [ĐÃ XÁC NHẬN] 02 §4 d.21 → kiểm ở [US6_77], [US6_14]
Nguồn: EPIC:97 "Email so khớp không phân biệt hoa/thường"; 02 §4 d.21; US6:48; EPIC:164 #21 chỉ chuẩn hóa SĐT; file 01 mục 8 #10
Evidence: screenshot màn 13, 14, Thông tin tài khoản, đăng nhập</t>
  </si>
  <si>
    <t xml:space="preserve">BR4 — Không giới hạn IP (E-07)</t>
  </si>
  <si>
    <t xml:space="preserve">[US6_44]</t>
  </si>
  <si>
    <t xml:space="preserve">Từ IP ngoài Việt Nam vẫn đăng ký email đi hết luồng tới ChatGoni, màn 11 chỉ còn lựa chọn Email</t>
  </si>
  <si>
    <t xml:space="preserve">BR4 · E-07 · US1 AC2</t>
  </si>
  <si>
    <t xml:space="preserve">App/web; VPN hoặc Dev giả quốc gia để IP ngoài VN (cách giả hỏi Dev, 02 §4 d.4); EMAIL-N (mới); hộp thư mở sẵn</t>
  </si>
  <si>
    <t xml:space="preserve">1. Từ IP ngoài VN mở màn 01 bấm "Đăng ký", quan sát màn 11
2. Gõ EMAIL-N, "Gửi mã xác thực"; nhập mã, "Xác nhận"
3. Gõ MK hai ô, "Đăng ký"
4. Bấm "Bắt đầu sử dụng", gửi một câu chat</t>
  </si>
  <si>
    <t xml:space="preserve">1. Màn 11 chỉ còn lựa chọn đăng ký bằng Email (không có đăng ký SĐT); không có thông báo chặn. Bỏ thanh tab hay giữ tab Email đơn lẻ: Chờ Q-14
2. Sang màn 12, nhận mã, sang màn 13
3. Sang màn 14 — tài khoản được tạo
4. Vào ChatGoni, chat được</t>
  </si>
  <si>
    <t xml:space="preserve">Ưu tiên: P1
Loại: Functional, môi trường IP
Nguồn: US6:49 "Không giới hạn IP"; EPIC:107 "Đăng ký email không giới hạn IP"; US1:57 "Mở màn đăng ký từ IP ngoài VN → Chỉ có đăng ký bằng Email"; 02 §4 d.4 (2)
Cách hiện tab: Chờ Q-14
Evidence: screenshot màn 11 + màn 14 + ảnh IP đang dùng</t>
  </si>
  <si>
    <t xml:space="preserve">[US6_45]</t>
  </si>
  <si>
    <t xml:space="preserve">Không xác định được IP (coi như ngoài VN) vẫn đăng ký email được</t>
  </si>
  <si>
    <t xml:space="preserve">BR4 · E-07</t>
  </si>
  <si>
    <t xml:space="preserve">Dev dựng được tình huống BE không xác định được quốc gia của IP (nếu không dựng được: ghi "không chạy được" kèm lý do); EMAIL-N2 (mới)</t>
  </si>
  <si>
    <t xml:space="preserve">1. Mở màn 11 trong tình huống IP không xác định, quan sát
2. Gõ EMAIL-N2, "Gửi mã xác thực"; nhập mã, "Xác nhận"; MK hai ô, "Đăng ký"</t>
  </si>
  <si>
    <t xml:space="preserve">1. Màn 11 như ngoài VN: chỉ còn Email
2. Đi hết luồng tới màn 14, tài khoản được tạo</t>
  </si>
  <si>
    <t xml:space="preserve">Ưu tiên: P3
Loại: Functional, môi trường IP
Nguồn: US1:45 "không xác định được IP → coi như ngoài VN"; EPIC:107; 02 §4 d.4 (3)
Cách dựng: Debate #3 (file 03 mục 11)
Evidence: screenshot + xác nhận Dev về IP</t>
  </si>
  <si>
    <t xml:space="preserve">AC10 — Mật khẩu hợp lệ, bấm Đăng ký → tạo tài khoản → màn 14 → workspace → ChatGoni</t>
  </si>
  <si>
    <t xml:space="preserve">[US6_46]</t>
  </si>
  <si>
    <t xml:space="preserve">Android: luồng chính đăng ký email thành công tới màn 14 và vào ChatGoni chat ngay</t>
  </si>
  <si>
    <t xml:space="preserve">PC-0 (Android); EMAIL-N (mới); hộp thư mở sẵn</t>
  </si>
  <si>
    <t xml:space="preserve">1. Màn 11 gõ EMAIL-N, bấm "Gửi mã xác thực"
2. Màn 12 nhập mã từ hộp thư, bấm "Xác nhận"
3. Màn 13 gõ MK vào hai ô, bấm "Đăng ký"
4. Quan sát màn 14
5. Bấm "Bắt đầu sử dụng"
6. Gửi một câu chat</t>
  </si>
  <si>
    <t xml:space="preserve">1. Sang màn 12
2. Sang màn 13 với EMAIL-N "Đã xác thực"
3. Sang màn 14 "Đăng ký thành công"
4. Hiện tên hiển thị = qa.moi01@congty.vn và gợi ý đổi tên
5. Vào ChatGoni; có workspace để vào (dấu hiệu quan sát: tên workspace trên menu — cách quan sát QA đề xuất, 02 §4 d.19)
6. Chat được ngay, không có popup</t>
  </si>
  <si>
    <t xml:space="preserve">Ưu tiên: P1
Loại: E2E, Android
Nguồn: US6:69 "Tạo tài khoản → Đăng ký thành công (tên hiển thị = email đăng ký + gợi ý đổi tên) → tạo workspace (nếu chưa có) → ChatGoni chat ngay"; US7:61; EPIC:74; nút "Bắt đầu sử dụng" wireframe US6:29, US1:68
Thời điểm tạo workspace: Q-05 ([US6_49]); dấu hiệu workspace: Debate #4
Evidence: screenshot màn 12, 13, 14, ChatGoni</t>
  </si>
  <si>
    <t xml:space="preserve">[US6_47]</t>
  </si>
  <si>
    <t xml:space="preserve">Web Chrome và Safari: luồng chính đăng ký email thành công tới ChatGoni</t>
  </si>
  <si>
    <t xml:space="preserve">BR2 · AC10 · E-21</t>
  </si>
  <si>
    <t xml:space="preserve">PC-0 (Web Chrome); EMAIL-N (mới) cho Chrome, EMAIL-N2 (mới) cho Safari</t>
  </si>
  <si>
    <t xml:space="preserve">1. Trên Chrome đi [US6_46] bước 1–6 với EMAIL-N
2. Trên Safari đi [US6_46] bước 1–6 với EMAIL-N2</t>
  </si>
  <si>
    <t xml:space="preserve">1. Kết quả từng bước như [US6_46]: màn 12 → 13 → 14 → ChatGoni chat được
2. Safari cho cùng kết quả</t>
  </si>
  <si>
    <t xml:space="preserve">Ưu tiên: P1
Loại: E2E, Web, compatibility
Nguồn: US6:69; US6:3 nền tảng Web; EPIC:193 "web Chrome/Safari"
Evidence: screenshot từng trình duyệt</t>
  </si>
  <si>
    <t xml:space="preserve">[US6_48]</t>
  </si>
  <si>
    <t xml:space="preserve">Tài khoản vừa tạo đăng nhập được bằng email + mật khẩu trên nền tảng khác</t>
  </si>
  <si>
    <t xml:space="preserve">BR2 · AC10 · US3 AC4</t>
  </si>
  <si>
    <t xml:space="preserve">Đã tạo tài khoản EMAIL-N + MK trên Android theo [US6_46]</t>
  </si>
  <si>
    <t xml:space="preserve">1. Trên Web màn 01 gõ EMAIL-N và MK, đăng nhập
2. Quan sát màn sau đăng nhập
3. Trên Web đăng nhập lại với mật khẩu sai Gopany@999</t>
  </si>
  <si>
    <t xml:space="preserve">EMAIL-N; MK; Gopany@999</t>
  </si>
  <si>
    <t xml:space="preserve">2. Đăng nhập thành công, vào đúng workspace đã tạo ở [US6_46]
3. Không đăng nhập được</t>
  </si>
  <si>
    <t xml:space="preserve">Ưu tiên: P1
Loại: E2E, cross-platform
Nguồn: US3:55 "Nhập đúng SĐT/email + mật khẩu → Đăng nhập, vào đúng workspace"; US6:69; file 01 mục 8 #7
Evidence: screenshot</t>
  </si>
  <si>
    <t xml:space="preserve">[US6_49]</t>
  </si>
  <si>
    <t xml:space="preserve">Thoát ở màn 14 không bấm "Bắt đầu sử dụng": tài khoản đăng nhập được chưa, workspace tạo chưa, lần sau vào đâu (chờ chốt)</t>
  </si>
  <si>
    <t xml:space="preserve">PC-0; EMAIL-N2 (mới); vừa bấm "Đăng ký" thành công, đang ở màn 14</t>
  </si>
  <si>
    <t xml:space="preserve">1. Tắt hẳn app / đóng tab ngay ở màn 14 (không bấm "Bắt đầu sử dụng")
2. Mở lại, màn 01 đăng nhập EMAIL-N2 + MK
3. Quan sát màn sau đăng nhập; ghi có workspace không (menu / tên workspace)
4. Hỏi BE thời điểm tạo tài khoản và workspace của EMAIL-N2</t>
  </si>
  <si>
    <t xml:space="preserve">2. Chờ Q-05: đăng nhập được (phương án Hồng tạm theo: tài khoản tạo lúc bấm Đăng ký) — không có expected
3. Chờ Q-05: vào ChatGoni, màn tạo workspace, hay khác — không có expected; ghi lại
4. Chờ Q-05: ghi hai mốc thời gian</t>
  </si>
  <si>
    <t xml:space="preserve">Ưu tiên: P1
Loại: Data integrity
❓ Cần chốt: Q-05
Nguồn: US6:69 không nhắc nút; wireframe màn 14 "Bấm → tạo workspace (nếu chưa có)"; US1:68; US3:55; 02 §4 d.19 [GIẢ ĐỊNH]
Evidence: screenshot + xác nhận BE</t>
  </si>
  <si>
    <t xml:space="preserve">BR5 — Tài khoản email mới chưa có SĐT → ChatGoni hạn mức thấp (dừng ở dấu hiệu)</t>
  </si>
  <si>
    <t xml:space="preserve">[US6_50]</t>
  </si>
  <si>
    <t xml:space="preserve">Vào ChatGoni lần đầu: chat được ngay không popup, hiện dòng hạn mức 5 giờ và link xác thực SĐT</t>
  </si>
  <si>
    <t xml:space="preserve">BR5 · E-11 · E-12</t>
  </si>
  <si>
    <t xml:space="preserve">Vừa bấm "Bắt đầu sử dụng" theo [US6_46]; Admin để mặc định 3 câu/5 giờ</t>
  </si>
  <si>
    <t xml:space="preserve">1. Quan sát màn ChatGoni ngay khi vào
2. Gửi một câu chat, chờ trả lời
3. Tìm dòng hạn mức và link xác thực SĐT</t>
  </si>
  <si>
    <t xml:space="preserve">Câu chat bất kỳ, vd Xin chào</t>
  </si>
  <si>
    <t xml:space="preserve">1. Chat được ngay, không có popup
2. Có trả lời; hiện "Hạn mức 5 giờ: X% đã dùng · làm mới lúc HH:MM" với X &gt; 0 (giá trị X phụ thuộc Admin, không làm tiêu chí — 02 §4 d.7)
3. Có link "Xác thực SĐT để nâng hạn mức"</t>
  </si>
  <si>
    <t xml:space="preserve">Ưu tiên: P1
Loại: Functional, ranh giới US7
Nguồn: US6:50 "Tài khoản email mới chưa có SĐT → ChatGoni ở hạn mức thấp"; US7:61 "Đăng ký xong / đăng nhập lần đầu → Vào ChatGoni chat được ngay, không có popup"; US7:63 dòng hạn mức; US7:64 link; US7:54; 02 §4 d.6
% cụ thể: nhóm B [US6_73]
Evidence: screenshot ChatGoni</t>
  </si>
  <si>
    <t xml:space="preserve">[US6_51]</t>
  </si>
  <si>
    <t xml:space="preserve">Tài khoản mới mở chọn chế độ thì Pro có biểu tượng khóa và dòng "Pro cần xác thực số điện thoại"</t>
  </si>
  <si>
    <t xml:space="preserve">BR5 · US7 AC4</t>
  </si>
  <si>
    <t xml:space="preserve">Đang ở ChatGoni với tài khoản mới (theo [US6_50])</t>
  </si>
  <si>
    <t xml:space="preserve">1. Mở chọn chế độ (Tức thì / Pro)
2. Quan sát mục Pro</t>
  </si>
  <si>
    <t xml:space="preserve">2. Pro có biểu tượng khóa + dòng "Pro cần xác thực số điện thoại"; chế độ mặc định là Tức thì</t>
  </si>
  <si>
    <t xml:space="preserve">Ưu tiên: P2
Loại: Functional, ranh giới US7 (dùng tới 100% và popup thuộc US7)
Nguồn: US7:65 "Mở chọn chế độ khi chưa xác thực → Pro có biểu tượng khóa + dòng "Pro cần xác thực số điện thoại""; EPIC:84 mặc định Tức thì; US6:50; 02 §4 d.6
Evidence: screenshot</t>
  </si>
  <si>
    <t xml:space="preserve">[US6_52]</t>
  </si>
  <si>
    <t xml:space="preserve">Thông tin tài khoản của tài khoản mới: email "Đã xác thực" không có nút Đổi, SĐT "Chưa có" có nút Thêm</t>
  </si>
  <si>
    <t xml:space="preserve">BR5 · E-03 · E-19</t>
  </si>
  <si>
    <t xml:space="preserve">Đã đăng nhập tài khoản mới EMAIL-N</t>
  </si>
  <si>
    <t xml:space="preserve">1. Mở Tài khoản › Thông tin tài khoản
2. Đọc dòng Email và nút đi kèm
3. Đọc dòng SĐT và nút đi kèm</t>
  </si>
  <si>
    <t xml:space="preserve">2. Email = qa.moi01@congty.vn, trạng thái "Đã xác thực", không có nút Đổi
3. SĐT: "Chưa có", có nút Thêm</t>
  </si>
  <si>
    <t xml:space="preserve">Ưu tiên: P1
Loại: Data integrity
Nguồn: US5:66 "SĐT: "Đã xác thực" (nút Đổi) hoặc "Chưa có" (nút Thêm). Email: "Đã xác thực" (không có nút Đổi)…"; US5:56 tạm không cho đổi email; EPIC:98; US6:50 chưa có SĐT
Evidence: screenshot</t>
  </si>
  <si>
    <t xml:space="preserve">AC11 — Bỏ ngang, mất mạng, lỗi hệ thống (không gắn BR)</t>
  </si>
  <si>
    <t xml:space="preserve">[US6_53]</t>
  </si>
  <si>
    <t xml:space="preserve">Mất mạng đúng lúc bấm "Gửi mã xác thực" (response không về): ở màn 11, lỗi tiếng Việt, thử lại được; bấm lại sau khi mail đã đi chịu quy tắc 60 giây</t>
  </si>
  <si>
    <t xml:space="preserve">— · AC11</t>
  </si>
  <si>
    <t xml:space="preserve">PC-0; EMAIL-N2; proxy hoặc chế độ máy bay để chặn response</t>
  </si>
  <si>
    <t xml:space="preserve">1. Màn 11 gõ EMAIL-N2; bật chặn mạng; bấm "Gửi mã xác thực"
2. Quan sát màn hình trong 30 giây
3. Bật mạng; kiểm hộp thư EMAIL-N2 xem mail đã đi chưa
4. Bấm lại "Gửi mã xác thực"</t>
  </si>
  <si>
    <t xml:space="preserve">2. Vẫn ở màn 11; thông báo lỗi bằng tiếng Việt; app/web không treo; còn bấm lại được. Chờ Q-07: nguyên văn
3. Ghi nhận mail đã đi hay chưa (phụ thuộc request có tới BE)
4. Nếu bước 3 mail đã đi: lần này là lần gửi thứ hai → mã cũ hết hiệu lực, chịu chờ 60 giây theo US2; nếu chưa đi: sang màn 12 và nhận mã</t>
  </si>
  <si>
    <t xml:space="preserve">Ưu tiên: P1
Loại: Exception &amp; recovery
Nguồn: US6:71 "Bỏ ngang, mất mạng, lỗi hệ thống → Chưa tạo tài khoản; báo lỗi tiếng Việt, cho thử lại"; US2:45-46; 02 §4 d.18
Nguyên văn: Chờ Q-07
Evidence: screenshot + hộp thư</t>
  </si>
  <si>
    <t xml:space="preserve">[US6_54]</t>
  </si>
  <si>
    <t xml:space="preserve">Mất mạng đúng lúc bấm "Xác nhận" OTP ở màn 12: lỗi tiếng Việt, thử lại được, chưa tạo tài khoản</t>
  </si>
  <si>
    <t xml:space="preserve">PC-0; đang ở màn 12 với EMAIL-N2 và mã còn hạn</t>
  </si>
  <si>
    <t xml:space="preserve">1. Bật chế độ máy bay; nhập đúng mã, bấm "Xác nhận"
2. Quan sát màn hình
3. Tắt chế độ máy bay; bấm "Xác nhận" lại với cùng mã
4. Trên thiết bị khác đăng nhập EMAIL-N2 + MK</t>
  </si>
  <si>
    <t xml:space="preserve">Mã OTP đúng; MK</t>
  </si>
  <si>
    <t xml:space="preserve">2. Thông báo lỗi tiếng Việt; không treo; vẫn ở màn 12. Chờ Q-07: nguyên văn
3. Sang màn 13 (mã còn hạn vẫn dùng được)
4. Không đăng nhập được — chưa tạo tài khoản</t>
  </si>
  <si>
    <t xml:space="preserve">Ưu tiên: P1
Loại: Exception &amp; recovery
Nguồn: US6:71; EPIC:106
Nguyên văn: Chờ Q-07
Evidence: screenshot</t>
  </si>
  <si>
    <t xml:space="preserve">[US6_55]</t>
  </si>
  <si>
    <t xml:space="preserve">Mất mạng trước khi bấm "Đăng ký" (request không tới BE): chưa tạo tài khoản, lỗi tiếng Việt; bật mạng bấm lại thì tạo được</t>
  </si>
  <si>
    <t xml:space="preserve">— · AC11 · E-06</t>
  </si>
  <si>
    <t xml:space="preserve">PC-0; EMAIL-N2 đang ở màn 13 "Đã xác thực"</t>
  </si>
  <si>
    <t xml:space="preserve">1. Gõ MK hai ô; bật chế độ máy bay; bấm "Đăng ký"
2. Quan sát màn hình
3. Trên thiết bị khác đăng nhập EMAIL-N2 + MK
4. Tắt chế độ máy bay; bấm "Đăng ký" lại</t>
  </si>
  <si>
    <t xml:space="preserve">2. Thông báo lỗi tiếng Việt; không treo; vẫn ở màn 13. Chờ Q-07: nguyên văn
3. Không đăng nhập được — chưa tạo tài khoản
4. Sang màn 14, tài khoản được tạo</t>
  </si>
  <si>
    <t xml:space="preserve">Ưu tiên: P1
Loại: Exception &amp; recovery
Nguồn: US6:71 "Chưa tạo tài khoản; báo lỗi tiếng Việt, cho thử lại"; EPIC:106
Nguyên văn: Chờ Q-07
Evidence: screenshot + đăng nhập bước 3</t>
  </si>
  <si>
    <t xml:space="preserve">[US6_56]</t>
  </si>
  <si>
    <t xml:space="preserve">BE trả lỗi hệ thống khi bấm "Đăng ký": chưa tạo tài khoản, lỗi tiếng Việt, thử lại được</t>
  </si>
  <si>
    <t xml:space="preserve">PC-0; EMAIL-N2 đang ở màn 13; proxy sửa response API tạo tài khoản thành 5xx (cách giả lập cần Dev xác nhận — Debate #1)</t>
  </si>
  <si>
    <t xml:space="preserve">1. Gõ MK hai ô; bật rule proxy trả 5xx; bấm "Đăng ký"
2. Quan sát màn hình
3. Trên thiết bị khác đăng nhập EMAIL-N2 + MK
4. Tắt rule; bấm "Đăng ký" lại</t>
  </si>
  <si>
    <t xml:space="preserve">2. Thông báo lỗi tiếng Việt (không hiện mã lỗi thô / tiếng Anh); vẫn ở màn 13. Chờ Q-07: nguyên văn
3. Không đăng nhập được
4. Sang màn 14</t>
  </si>
  <si>
    <t xml:space="preserve">Ưu tiên: P2
Loại: Exception &amp; recovery
Nguồn: US6:71; EPIC:206 BE trả mã lỗi
Nguyên văn: Chờ Q-07; cách giả lập: Debate #1 (file 03 mục 11)
Evidence: screenshot + proxy log</t>
  </si>
  <si>
    <t xml:space="preserve">[US6_57]</t>
  </si>
  <si>
    <t xml:space="preserve">App ra nền rồi quay lại / web F5 ở màn 12 và 13: giữ màn và dữ liệu hay làm lại (chờ chốt); chắc chắn chưa tạo tài khoản</t>
  </si>
  <si>
    <t xml:space="preserve">PC-0; EMAIL-N2; Android ở màn 12, sau đó màn 13; Web song song</t>
  </si>
  <si>
    <t xml:space="preserve">1. Android màn 12: đưa app ra nền 2 phút, mở lại; quan sát
2. Web màn 12: bấm F5; quan sát
3. Đi tới màn 13, gõ MK hai ô (chưa bấm Đăng ký); Android ra nền 2 phút rồi mở lại; Web F5; quan sát màn và hai ô
4. Trên thiết bị khác đăng nhập EMAIL-N2 + MK</t>
  </si>
  <si>
    <t xml:space="preserve">1. Chờ Q-04: giữ màn 12 (phương án Hồng tạm theo) hay về bước 1 — không có expected
2. Chờ Q-04
3. Chờ Q-04: giữ màn 13 và hai ô còn chữ hay không — không có expected; ghi lại
4. Phần chắc chắn: không đăng nhập được — chưa tạo tài khoản</t>
  </si>
  <si>
    <t xml:space="preserve">Ưu tiên: P2
Loại: Exception &amp; recovery
❓ Cần chốt: Q-04
Nguồn: US6:71 "Bỏ ngang… → Chưa tạo tài khoản"; US1:70 chỉ cho US1; US4-AS Q-06 (web F5 giữ màn) chỉ cho US4; 02 §4 d.20 [GIẢ ĐỊNH]
Evidence: screenshot trước/sau</t>
  </si>
  <si>
    <t xml:space="preserve">[US6_58]</t>
  </si>
  <si>
    <t xml:space="preserve">Tắt hẳn app / đóng tab ở màn 12 hoặc 13 rồi mở lại: về đâu (chờ chốt); chắc chắn chưa tạo tài khoản</t>
  </si>
  <si>
    <t xml:space="preserve">PC-0; EMAIL-N2 đang ở màn 13 "Đã xác thực" (Android và Web)</t>
  </si>
  <si>
    <t xml:space="preserve">1. Android: tắt hẳn app (kill), mở lại; quan sát màn đầu tiên
2. Web: đóng tab, mở tab mới vào địa chỉ web; quan sát
3. Trên thiết bị khác đăng nhập EMAIL-N2 + MK</t>
  </si>
  <si>
    <t xml:space="preserve">1. Chờ Q-04: về màn 01 / màn 11 (phương án Hồng tạm theo: làm lại từ bước 1) hay giữ màn 13 — không có expected
2. Chờ Q-04
3. Phần chắc chắn: không đăng nhập được — chưa tạo tài khoản</t>
  </si>
  <si>
    <t xml:space="preserve">Ưu tiên: P2
Loại: Exception &amp; recovery
❓ Cần chốt: Q-04
Nguồn: US6:71; EPIC:106; 02 §4 d.20 [GIẢ ĐỊNH]
Evidence: screenshot</t>
  </si>
  <si>
    <t xml:space="preserve">[US6_59]</t>
  </si>
  <si>
    <t xml:space="preserve">Response "Đăng ký" rớt sau khi BE đã tạo tài khoản: màn báo gì, bấm lại có rơi vào AC4 không (chờ chốt)</t>
  </si>
  <si>
    <t xml:space="preserve">— · AC11 · AC4</t>
  </si>
  <si>
    <t xml:space="preserve">PC-0; EMAIL-N2 đang ở màn 13; proxy giữ request tạo tài khoản, cho tới BE rồi chặn response</t>
  </si>
  <si>
    <t xml:space="preserve">1. Gõ MK hai ô; bật rule proxy chặn response; bấm "Đăng ký"
2. Quan sát màn hình
3. Hỏi BE / đăng nhập thử EMAIL-N2 + MK trên thiết bị khác
4. Tắt rule; bấm "Đăng ký" lại; quan sát</t>
  </si>
  <si>
    <t xml:space="preserve">2. Thông báo lỗi tiếng Việt, không treo (US6:71). Nguyên văn: Chờ Q-07
3. Chờ Q-13: tài khoản đã tạo hay chưa — ghi lại
4. Chờ Q-13: sang màn 14, báo "đã có tài khoản" (AC4), hay khác — không có expected</t>
  </si>
  <si>
    <t xml:space="preserve">Ưu tiên: P2
Loại: Exception, edge
❓ Cần chốt: Q-13 (và Q-12 để biết API cần chặn)
Nguồn: US6:71; US6:61; file 01 mục 8 #9 [QA BỔ SUNG]; US1:71 "không tạo tài khoản dở dang" chỉ cho US1
Evidence: proxy log + screenshot</t>
  </si>
  <si>
    <t xml:space="preserve">Regression — E-21 (không gắn BR)</t>
  </si>
  <si>
    <t xml:space="preserve">[US6_60]</t>
  </si>
  <si>
    <t xml:space="preserve">Tài khoản tạo bằng form đăng ký email cũ vẫn đăng nhập được sau khi có US6</t>
  </si>
  <si>
    <t xml:space="preserve">— · E-21 · US3 AC4</t>
  </si>
  <si>
    <t xml:space="preserve">TK-CŨ tồn tại; bản app/web có US6</t>
  </si>
  <si>
    <t xml:space="preserve">1. Màn 01 gõ cu01@congty.vn + OldPass123, đăng nhập
2. Quan sát màn sau đăng nhập
3. Lặp trên nền tảng còn lại</t>
  </si>
  <si>
    <t xml:space="preserve">TK-CŨ</t>
  </si>
  <si>
    <t xml:space="preserve">2. Đăng nhập thành công, vào đúng workspace của TK-CŨ
3. Nền tảng còn lại cũng đăng nhập được</t>
  </si>
  <si>
    <t xml:space="preserve">Ưu tiên: P1
Loại: Regression
Nguồn: EPIC:194 "luồng email/Google hiện tại không bị ảnh hưởng"; US3:55; file 01 mục 8 #17
Evidence: screenshot</t>
  </si>
  <si>
    <t xml:space="preserve">B. Case QA bổ sung / exploratory [QA BỔ SUNG]</t>
  </si>
  <si>
    <t xml:space="preserve">[US6_62]</t>
  </si>
  <si>
    <t xml:space="preserve">"Quay lại" ở màn 11 và màn 12, "Đổi email" ở màn 12: về màn nào, ô Email điền sẵn hay trống</t>
  </si>
  <si>
    <t xml:space="preserve">AC6 (liên quan)</t>
  </si>
  <si>
    <t xml:space="preserve">PC-0; EMAIL-N2; màn 11 rồi màn 12</t>
  </si>
  <si>
    <t xml:space="preserve">1. Màn 11 bấm "Quay lại"; ghi màn mở ra
2. Vào lại màn 11, gõ EMAIL-N2, "Gửi mã xác thực" → màn 12; bấm "Quay lại"; ghi màn và ô Email
3. Vào lại màn 12 (gửi lại nếu cần), bấm "Đổi email"; ghi màn và ô Email
4. Ở màn 11 sau bước 3 bấm "Gửi mã xác thực" lại ngay; ghi có bị chờ 60 s không</t>
  </si>
  <si>
    <t xml:space="preserve">1. ĐO &amp; GHI: về màn 01 hay khác
2. ĐO &amp; GHI: về màn 11 hay 01; ô Email điền sẵn hay trống
3. ĐO &amp; GHI: như bước 2
4. ĐO &amp; GHI: gửi được ngay hay phải chờ đếm ngược</t>
  </si>
  <si>
    <t xml:space="preserve">Ưu tiên: P3
Loại: QA bổ sung
Lý do thêm: Q-09, Q-14 mở — "Quay lại" chỉ có trên wireframe, tài liệu không nói về đích và dữ liệu điền sẵn
Evidence: screenshot</t>
  </si>
  <si>
    <t xml:space="preserve">[US6_63]</t>
  </si>
  <si>
    <t xml:space="preserve">Bấm "Hiện" ở ô Mật khẩu thì ô Xác nhận mật khẩu có hiện theo không</t>
  </si>
  <si>
    <t xml:space="preserve">BR3 (liên quan)</t>
  </si>
  <si>
    <t xml:space="preserve">PC-0; EMAIL-N2 đang ở màn 13, đã gõ MK vào cả hai ô</t>
  </si>
  <si>
    <t xml:space="preserve">1. Bấm "Hiện" của ô Mật khẩu; quan sát cả hai ô
2. Bấm "Hiện" của ô Xác nhận mật khẩu; quan sát cả hai ô
3. Bấm lại "Hiện" của ô Mật khẩu; quan sát</t>
  </si>
  <si>
    <t xml:space="preserve">1. ĐO &amp; GHI: ô Xác nhận vẫn che hay hiện theo
2. ĐO &amp; GHI: trạng thái hai ô
3. ĐO &amp; GHI: ô Xác nhận có bị che theo không</t>
  </si>
  <si>
    <t xml:space="preserve">Ưu tiên: P3
Loại: QA bổ sung
Lý do thêm: 02 §4 d.1 — tài liệu chỉ nói "mỗi ô có nút Hiện", độc lập hay liên động là [DIỄN GIẢI AI]
Evidence: screenshot</t>
  </si>
  <si>
    <t xml:space="preserve">[US6_64]</t>
  </si>
  <si>
    <t xml:space="preserve">Nút "Đăng ký" khi chưa nhập đủ hai ô hoặc ô chỉ toàn khoảng trắng: tắt hay bật và báo lỗi</t>
  </si>
  <si>
    <t xml:space="preserve">AC9 (liên quan)</t>
  </si>
  <si>
    <t xml:space="preserve">1. Để trống cả hai ô; quan sát nút "Đăng ký"; cố bấm
2. Gõ MK vào ô Mật khẩu, để trống ô Xác nhận; quan sát nút; cố bấm
3. Gõ 8 dấu cách vào cả hai ô; quan sát nút; cố bấm
4. Kiểm Network ở mỗi lần bấm</t>
  </si>
  <si>
    <t xml:space="preserve">MK · "        " (8 khoảng trắng)</t>
  </si>
  <si>
    <t xml:space="preserve">1. ĐO &amp; GHI: nút tắt hay bật; bấm thì lỗi ở đâu
2. ĐO &amp; GHI
3. ĐO &amp; GHI: coi là đã nhập hay chưa; lỗi gì
4. ĐO &amp; GHI: có request tạo tài khoản không</t>
  </si>
  <si>
    <t xml:space="preserve">Ưu tiên: P3
Loại: QA bổ sung
Lý do thêm: Q-10 mở — US4 AC14 có quy tắc nút Lưu (US4:79), US6 không có dòng tương ứng
Evidence: screenshot + Network</t>
  </si>
  <si>
    <t xml:space="preserve">[US6_65]</t>
  </si>
  <si>
    <t xml:space="preserve">Cả hai ô cùng sai (không đạt quy định và không khớp) thì lỗi hiện ở ô nào</t>
  </si>
  <si>
    <t xml:space="preserve">1. Gõ abc vào ô Mật khẩu, abcd vào ô Xác nhận mật khẩu
2. Bấm "Đăng ký"
3. Ghi vị trí, số lượng và nội dung thông báo lỗi</t>
  </si>
  <si>
    <t xml:space="preserve">abc / abcd</t>
  </si>
  <si>
    <t xml:space="preserve">3. ĐO &amp; GHI: lỗi ở ô Mật khẩu, ô Xác nhận, hay cả hai; nội dung từng lỗi</t>
  </si>
  <si>
    <t xml:space="preserve">Ưu tiên: P3
Loại: QA bổ sung
Lý do thêm: 02 §4 d.13 [GIẢ ĐỊNH] (Hồng kỳ vọng lỗi ở ô Mật khẩu) — tài liệu không nói; Q-10
Evidence: screenshot</t>
  </si>
  <si>
    <t xml:space="preserve">[US6_66]</t>
  </si>
  <si>
    <t xml:space="preserve">Bắt đầu ở IP VN, đổi sang IP ngoài VN ở màn 12/13 rồi đi tiếp: có tạo được tài khoản không</t>
  </si>
  <si>
    <t xml:space="preserve">BR4 (liên quan)</t>
  </si>
  <si>
    <t xml:space="preserve">PC-0 (IP VN); EMAIL-N2; VPN sẵn sàng</t>
  </si>
  <si>
    <t xml:space="preserve">1. Màn 11 (IP VN) gõ EMAIL-N2, "Gửi mã xác thực" → màn 12
2. Bật VPN sang IP ngoài VN; nhập mã, "Xác nhận"
3. Màn 13 gõ MK hai ô, "Đăng ký"; ghi kết quả</t>
  </si>
  <si>
    <t xml:space="preserve">2. ĐO &amp; GHI: sang màn 13 hay bị chặn / báo lỗi
3. ĐO &amp; GHI: tạo được tài khoản (màn 14) hay không</t>
  </si>
  <si>
    <t xml:space="preserve">Ưu tiên: P3
Loại: QA bổ sung
Lý do thêm: 02 §4 d.5 [DIỄN GIẢI AI] — US6 không nói; US1 AC12 chỉ cho SĐT (US1:71)
Evidence: screenshot + ảnh IP</t>
  </si>
  <si>
    <t xml:space="preserve">[US6_67]</t>
  </si>
  <si>
    <t xml:space="preserve">iOS: link trong email OTP / email mời workspace, URL màn 11–14 gõ vào Safari rồi "Mở trong app" có dẫn vào đăng ký không</t>
  </si>
  <si>
    <t xml:space="preserve">AC2 (liên quan)</t>
  </si>
  <si>
    <t xml:space="preserve">iPhone có app; đã nhận email OTP đăng ký (từ web) và email mời workspace</t>
  </si>
  <si>
    <t xml:space="preserve">1. Trên iPhone mở email OTP, bấm mọi phần tử bấm được (nếu có)
2. Mở email mời workspace, bấm link
3. Gõ URL màn 11, 12, 13, 14 (lấy từ web) vào Safari; nếu iOS gợi ý "Mở trong app" thì chọn
4. Ghi màn app mở ra ở mỗi bước</t>
  </si>
  <si>
    <t xml:space="preserve">URL màn 11–14</t>
  </si>
  <si>
    <t xml:space="preserve">1. ĐO &amp; GHI: có mở app vào màn đăng ký không
2. ĐO &amp; GHI
3. ĐO &amp; GHI
4. ĐO &amp; GHI: bất kỳ đường nào tới màn 11–14 là phát hiện cần báo (E-08)</t>
  </si>
  <si>
    <t xml:space="preserve">Ưu tiên: P2
Loại: QA bổ sung, chỉ iOS
Lý do thêm: 02 §4 d.9 — ba đường ngoài tài liệu; lịch sử BUG10
Evidence: screen record</t>
  </si>
  <si>
    <t xml:space="preserve">[US6_68]</t>
  </si>
  <si>
    <t xml:space="preserve">Email OTP đăng ký đến sau bao lâu và có vào Spam không (Gmail, Outlook, email công ty)</t>
  </si>
  <si>
    <t xml:space="preserve">PC-0; ba hộp thư chưa gắn tài khoản: Gmail, Outlook, email tên miền công ty</t>
  </si>
  <si>
    <t xml:space="preserve">1. Màn 11 gõ từng email, bấm "Gửi mã xác thực"; ghi giờ bấm
2. Kiểm hộp thư; ghi giờ nhận và thư mục nhận (Inbox / Spam / Quảng cáo)</t>
  </si>
  <si>
    <t xml:space="preserve">qa.gm01@gmail.com · qa.ol01@outlook.com · qa.cty01@congty.vn</t>
  </si>
  <si>
    <t xml:space="preserve">2. ĐO &amp; GHI: thời gian đến (giây) và thư mục nhận với từng nhà cung cấp</t>
  </si>
  <si>
    <t xml:space="preserve">Ưu tiên: P3
Loại: QA bổ sung, đo kiểm
Lý do thêm: Epic #8 mở (EPIC:151, US6:75); không có SLA để làm expected
Evidence: ảnh email có giờ nhận</t>
  </si>
  <si>
    <t xml:space="preserve">[US6_69]</t>
  </si>
  <si>
    <t xml:space="preserve">Mật khẩu trùng hoặc chứa chính email đăng ký có được chấp nhận không</t>
  </si>
  <si>
    <t xml:space="preserve">BR2 (liên quan)</t>
  </si>
  <si>
    <t xml:space="preserve">PC-0; hộp thư ab1@cd.vn (email ngắn, 9 ký tự, chưa gắn tài khoản) đã qua OTP, đang ở màn 13</t>
  </si>
  <si>
    <t xml:space="preserve">1. Gõ ab1@cd.vn (trùng email, 9 ký tự, có chữ và số) vào hai ô, bấm "Đăng ký"; ghi kết quả
2. Nếu bước 1 bị từ chối: gõ ab1@cd.vn1 (chứa email, 10 ký tự) vào hai ô, bấm "Đăng ký"; ghi kết quả</t>
  </si>
  <si>
    <t xml:space="preserve">ab1@cd.vn · ab1@cd.vn1</t>
  </si>
  <si>
    <t xml:space="preserve">1. ĐO &amp; GHI: chấp nhận (sang màn 14) hay báo lỗi (nguyên văn)
2. ĐO &amp; GHI: như bước 1</t>
  </si>
  <si>
    <t xml:space="preserve">Ưu tiên: P3
Loại: QA bổ sung
Lý do thêm: 02 mục 8 "mật khẩu trùng email" — tài liệu không nói
Evidence: screenshot</t>
  </si>
  <si>
    <t xml:space="preserve">[US6_70]</t>
  </si>
  <si>
    <t xml:space="preserve">Web: URL / đường vào form đăng ký email cũ còn mở được không</t>
  </si>
  <si>
    <t xml:space="preserve">AC1 (liên quan)</t>
  </si>
  <si>
    <t xml:space="preserve">Web bản có US6; biết URL form đăng ký cũ (hỏi Dev)</t>
  </si>
  <si>
    <t xml:space="preserve">1. Gõ URL form đăng ký cũ vào trình duyệt
2. Quan sát trang mở ra
3. Nếu form cũ còn hiện: thử điền và gửi với EMAIL-N2</t>
  </si>
  <si>
    <t xml:space="preserve">URL form cũ; EMAIL-N2</t>
  </si>
  <si>
    <t xml:space="preserve">2. ĐO &amp; GHI: chuyển về màn 11, 404, hay vẫn hiện form cũ
3. ĐO &amp; GHI: có tạo được tài khoản không xác thực không — nếu có là phát hiện cần báo (EPIC:36)</t>
  </si>
  <si>
    <t xml:space="preserve">Ưu tiên: P2
Loại: QA bổ sung, regression
Lý do thêm: file 01 mục 8 #1 [DIỄN GIẢI AI] "form cũ không còn đường vào" — tài liệu chỉ nói "thay cho form cũ"
Evidence: screenshot</t>
  </si>
  <si>
    <t xml:space="preserve">[US6_71]</t>
  </si>
  <si>
    <t xml:space="preserve">Màn 11: link "Điều khoản", "Chính sách bảo mật", "Đã có tài khoản? Đăng nhập" có không và mở đâu</t>
  </si>
  <si>
    <t xml:space="preserve">PC-0; màn 11</t>
  </si>
  <si>
    <t xml:space="preserve">1. Tìm ba phần tử trên màn 11
2. Bấm từng phần tử; ghi trang / màn mở ra</t>
  </si>
  <si>
    <t xml:space="preserve">1. ĐO &amp; GHI: có / không có từng phần tử
2. ĐO &amp; GHI: đích của từng link</t>
  </si>
  <si>
    <t xml:space="preserve">Ưu tiên: P3
Loại: QA bổ sung
Lý do thêm: Q-14 mở — phần tử chỉ có trên wireframe (US6:29), wireframe chỉ tham khảo (US6:33)
Evidence: screenshot</t>
  </si>
  <si>
    <t xml:space="preserve">[US6_72]</t>
  </si>
  <si>
    <t xml:space="preserve">Gợi ý Đăng nhập trong thông báo AC4 có bấm được không và đưa về màn nào, ô định danh có điền sẵn email không</t>
  </si>
  <si>
    <t xml:space="preserve">AC4 (liên quan)</t>
  </si>
  <si>
    <t xml:space="preserve">PC-0; vừa chạy [US6_10] đang thấy thông báo đã đăng ký</t>
  </si>
  <si>
    <t xml:space="preserve">1. Tìm phần "Đăng nhập" trong thông báo / màn 11
2. Bấm vào (nếu bấm được); quan sát màn và ô định danh</t>
  </si>
  <si>
    <t xml:space="preserve">1. ĐO &amp; GHI: là link / nút hay chỉ là chữ
2. ĐO &amp; GHI: về màn 01 không; ô "Email hoặc SĐT" điền sẵn cu01@congty.vn không</t>
  </si>
  <si>
    <t xml:space="preserve">Ưu tiên: P3
Loại: QA bổ sung
Lý do thêm: US6:61 chỉ nói "gợi ý Đăng nhập", không nói là link hay hành vi
Evidence: screenshot</t>
  </si>
  <si>
    <t xml:space="preserve">[US6_73]</t>
  </si>
  <si>
    <t xml:space="preserve">Giá trị % hạn mức sau câu đầu với Admin để mặc định 3 câu/5 giờ</t>
  </si>
  <si>
    <t xml:space="preserve">BR5 (liên quan)</t>
  </si>
  <si>
    <t xml:space="preserve">Tài khoản mới vừa vào ChatGoni (theo [US6_50]); Admin xác nhận đang để 3 câu/5 giờ</t>
  </si>
  <si>
    <t xml:space="preserve">1. Gửi câu chat thứ nhất; đọc X% trên dòng hạn mức
2. Gửi câu thứ hai; đọc X%</t>
  </si>
  <si>
    <t xml:space="preserve">Hai câu chat bất kỳ</t>
  </si>
  <si>
    <t xml:space="preserve">1. ĐO &amp; GHI: X% sau câu 1 (kỳ vọng tham khảo 33% theo 02 §4 d.7 [DIỄN GIẢI AI], không làm tiêu chí)
2. ĐO &amp; GHI: X% sau câu 2</t>
  </si>
  <si>
    <t xml:space="preserve">Ưu tiên: P3
Loại: QA bổ sung, ranh giới US7
Lý do thêm: 02 §4 d.7 — con số chỉnh được trong Admin, không có expected cứng; dùng tới 100% thuộc US7 AC6
Evidence: screenshot</t>
  </si>
  <si>
    <t xml:space="preserve">[US6_78]</t>
  </si>
  <si>
    <t xml:space="preserve">Ô Email trống hoặc chỉ toàn khoảng trắng: nút "Gửi mã xác thực" tắt hay bấm được, lỗi hiện thế nào</t>
  </si>
  <si>
    <t xml:space="preserve">AC3 (liên quan)</t>
  </si>
  <si>
    <t xml:space="preserve">PC-0; màn 11 tab Email; Network đang bắt</t>
  </si>
  <si>
    <t xml:space="preserve">1. Để ô Email trống; quan sát nút "Gửi mã xác thực"; cố bấm
2. Gõ 3 dấu cách vào ô Email; quan sát nút; cố bấm
3. Kiểm Network sau mỗi lần bấm</t>
  </si>
  <si>
    <t xml:space="preserve">(ô trống) · "   " (3 khoảng trắng)</t>
  </si>
  <si>
    <t xml:space="preserve">1. ĐO &amp; GHI: nút tắt hay bật; bấm thì lỗi gì, hiện ở đâu
2. ĐO &amp; GHI: như bước 1 (sau khi tự cắt khoảng trắng còn chuỗi rỗng — có coi là trống không)
3. ĐO &amp; GHI: có request gửi OTP không</t>
  </si>
  <si>
    <t xml:space="preserve">Ưu tiên: P3
Loại: QA bổ sung
Lý do thêm: bộ mẫu sai của BA (02 §4 d.21) không có ô trống; giá trị này trước nằm trong [US6_06], tách ra để nhóm A chỉ giữ phần đã xác nhận; tương tự Q-10 cho màn 13
Evidence: screenshot + Network</t>
  </si>
  <si>
    <t xml:space="preserve">Pass</t>
  </si>
  <si>
    <t xml:space="preserve">Fail</t>
  </si>
  <si>
    <t xml:space="preserve">NA</t>
  </si>
  <si>
    <t xml:space="preserve">Tổng</t>
  </si>
  <si>
    <t xml:space="preserve">Số case</t>
  </si>
  <si>
    <t xml:space="preserve">Số case ❓ Cần chốt</t>
  </si>
  <si>
    <t xml:space="preserve">Nguồn: sheet 'Test cases', cột Round 1–3 (chọn Todo / Pass / Fail / NA từ dropdown). Xuất từ wiki/qa/features/EPIC-SDT-US6/04-testcases.md.</t>
  </si>
  <si>
    <t xml:space="preserve">Thông tin</t>
  </si>
  <si>
    <t xml:space="preserve">Giá trị</t>
  </si>
  <si>
    <t xml:space="preserve">Mã trường hợp kiểm thử</t>
  </si>
  <si>
    <t xml:space="preserve">US6</t>
  </si>
  <si>
    <t xml:space="preserve">Tên trường hợp kiểm thử</t>
  </si>
  <si>
    <t xml:space="preserve">Đăng ký bằng email với xác thực OTP (màn 11 → 12 → 13 → 14 → ChatGoni)</t>
  </si>
  <si>
    <t xml:space="preserve">Tài liệu nguồn</t>
  </si>
  <si>
    <t xml:space="preserve">tailieu/Signup] Đăng ký, đăng nhập bằng số điện thoại &amp; hạn mức ChatGoni-export.markdown/00  [EPIC][Login%2FSignup] …/06  [EPIC-SĐT] US6 – Đăng ký bằng email với xác thực OTP.md (không ghi version; không có changelog). Đối chiếu: Epic 00 …ChatGoni.md §4, §6, §8; 01 … US1; 02 … US2; 03 … US3; 04 … US4; 05 … US5; 07 … US7; 09 … US9; 10 [BUG][iOS]…; câu trả lời BA tái dùng từ EPIC-SDT-US4/02-alignment-summary.md (Q-01 mật khẩu; Q-07 định dạng email — từ 2026-10-16 thay bằng quy định BA ở 02 §4 d.21)</t>
  </si>
  <si>
    <t xml:space="preserve">Căn cứ cách hiểu</t>
  </si>
  <si>
    <t xml:space="preserve">02-alignment-summary.md, cổng mở ngày 2026-10-16 (mục 4 dòng 1–21; dòng 15, 16, 17, 19, 20 là [GIẢ ĐỊNH] — case liên quan ❓ Cần chốt; dòng 21 quy định định dạng email [ĐÃ XÁC NHẬN] BA qua Hồng 2026-10-16). Thiết kế: 03-test-design.md</t>
  </si>
  <si>
    <t xml:space="preserve">Trục trace</t>
  </si>
  <si>
    <t xml:space="preserve">Trace BR = BR / AC mà case đang verify (mã gốc BR1–BR5, AC1–AC11 của US6). Quy tắc chung Epic/story khác dùng mã E-xx (QA đánh, file 01 mục 5b); BR/AC của story khác ghi kèm tiền tố (US2 AC7, US3 AC4, US5 AC3, US7 AC4, US9 AC5). Case không thuộc BR nào ghi — · &lt;AC&gt;</t>
  </si>
  <si>
    <t xml:space="preserve">Người thiết kế · ngày</t>
  </si>
  <si>
    <t xml:space="preserve">AI (Test Designer) — người dùng: Hồng (QA) · 2026-10-16</t>
  </si>
  <si>
    <t xml:space="preserve">Dữ liệu test</t>
  </si>
  <si>
    <t xml:space="preserve">PC-0 (tiền đề chung): app Android / web bản có US6; truy cập từ IP Việt Nam (trừ nhóm BR4); đang ở màn 01 chưa đăng nhập; thiết bị có mạng; QA truy cập được hộp thư của email test; bộ đếm OTP của email test chưa chạm giới hạn; Admin để hạn mức ChatGoni mặc định (3 câu/5 giờ, US7:50). Vào màn 11: ở màn 01 bấm "Đăng ký" → chọn tab "Email".</t>
  </si>
  <si>
    <t xml:space="preserve">EMAIL-N = qa.moi01@congty.vn — email chưa gắn tài khoản nào (QA kiểm trước bằng cách đăng nhập thử / hỏi BE). Mỗi case tạo tài khoản thành công tiêu tốn một EMAIL-N; lần chạy sau dùng email mới (qa.moi02@…) hoặc nhờ BE xóa tài khoản sau test. EMAIL-N2 = qa.moi02@congty.vn (email thứ hai, chưa gắn tài khoản).</t>
  </si>
  <si>
    <t xml:space="preserve">TK-CŨ = tài khoản tạo bằng form đăng ký email cũ, email cu01@congty.vn, mật khẩu OldPass123.</t>
  </si>
  <si>
    <t xml:space="preserve">TK-G</t>
  </si>
  <si>
    <t xml:space="preserve">TK-G = tài khoản tạo bằng Google, email gg01@gmail.com.</t>
  </si>
  <si>
    <t xml:space="preserve">TK-US5</t>
  </si>
  <si>
    <t xml:space="preserve">TK-US5 = tài khoản đăng ký bằng SĐT, đã thêm email them01@congty.vn ở Thông tin tài khoản (đã xác thực).</t>
  </si>
  <si>
    <t xml:space="preserve">EMAIL-MỜI</t>
  </si>
  <si>
    <t xml:space="preserve">EMAIL-MỜI = moi01@congty.vn — đã được mời vào workspace W1 nhưng chưa đăng ký (Q-01).</t>
  </si>
  <si>
    <t xml:space="preserve">MK mặc định</t>
  </si>
  <si>
    <t xml:space="preserve">MK mặc định = Gopany@123 (đạt quy định 8–16 ký tự, ≥1 chữ và ≥1 số — US4-AS Q-01 [ĐÃ XÁC NHẬN], 02 §4 d.13).</t>
  </si>
  <si>
    <t xml:space="preserve">Q</t>
  </si>
  <si>
    <t xml:space="preserve">Nội dung</t>
  </si>
  <si>
    <t xml:space="preserve">Case liên quan</t>
  </si>
  <si>
    <t xml:space="preserve">Trạng thái</t>
  </si>
  <si>
    <t xml:space="preserve">Q-01</t>
  </si>
  <si>
    <t xml:space="preserve">Email đã được mời vào workspace nhưng chưa đăng ký: được đăng ký không; sau đó vào workspace nào</t>
  </si>
  <si>
    <t xml:space="preserve">Mở — Hồng tạm theo (c), chờ BA Chình / PdM Hường</t>
  </si>
  <si>
    <t xml:space="preserve">Q-02</t>
  </si>
  <si>
    <t xml:space="preserve">AC5 thử lại sau lỗi gửi: có chờ 60 s, có tính lượt US2; cách dựng lỗi gửi</t>
  </si>
  <si>
    <t xml:space="preserve">[US6_19] (Chờ BA); [US6_18] cách dựng</t>
  </si>
  <si>
    <t xml:space="preserve">Mở — Hồng tạm theo (a), chờ BE Chiến</t>
  </si>
  <si>
    <t xml:space="preserve">Q-03</t>
  </si>
  <si>
    <t xml:space="preserve">Thời hạn giữa OTP đúng và bấm Đăng ký</t>
  </si>
  <si>
    <t xml:space="preserve">Q-04</t>
  </si>
  <si>
    <t xml:space="preserve">Ra nền / F5 / tắt app / đóng tab ở màn 12, 13 về đâu; dữ liệu còn không</t>
  </si>
  <si>
    <t xml:space="preserve">[US6_57], [US6_58]; [US6_27] bước mở lại</t>
  </si>
  <si>
    <t xml:space="preserve">Mở — Hồng tạm theo (b), chờ BA / FE</t>
  </si>
  <si>
    <t xml:space="preserve">Q-05</t>
  </si>
  <si>
    <t xml:space="preserve">Thời điểm tạo tài khoản và workspace; thoát ở màn 14; dấu hiệu "đã có workspace"</t>
  </si>
  <si>
    <t xml:space="preserve">[US6_49]; [US6_46] [US6_47] bước 5</t>
  </si>
  <si>
    <t xml:space="preserve">Q-06</t>
  </si>
  <si>
    <t xml:space="preserve">Hai thiết bị cùng email song song (Epic #22)</t>
  </si>
  <si>
    <t xml:space="preserve">Mở — chờ PdM Hường / BE Chiến</t>
  </si>
  <si>
    <t xml:space="preserve">Q-07</t>
  </si>
  <si>
    <t xml:space="preserve">Nguyên văn thông báo AC4, AC5, AC9 (không đạt quy định), AC11 — AC3 đã có "Email không đúng định dạng" [ĐÃ XÁC NHẬN] 2026-10-16 ([US6_06] không còn chờ)</t>
  </si>
  <si>
    <t xml:space="preserve">[US6_10]→[US6_14] [US6_18] [US6_33]→[US6_36] [US6_53]→[US6_56] [US6_59] (Chờ BA — chỉ phần nguyên văn)</t>
  </si>
  <si>
    <t xml:space="preserve">Mở — AC3 đã đóng; AC4, AC5, AC9, AC11 còn chờ</t>
  </si>
  <si>
    <t xml:space="preserve">Q-08</t>
  </si>
  <si>
    <t xml:space="preserve">Dạng lưu (hoa/thường) tên hiển thị / email — phần khoảng trắng đầu/cuối tự cắt và hoa/thường khi kiểm trùng đã [ĐÃ XÁC NHẬN] 2026-10-16 (02 §4 d.21 → [US6_77], [US6_14])</t>
  </si>
  <si>
    <t xml:space="preserve">[US6_43] (chỉ phần dạng lưu)</t>
  </si>
  <si>
    <t xml:space="preserve">Mở một phần — chờ BE Chiến</t>
  </si>
  <si>
    <t xml:space="preserve">Q-09</t>
  </si>
  <si>
    <t xml:space="preserve">Màn 12: Đổi email / Quay lại điền sẵn hay trống; mẫu che email; độ dài mã OTP</t>
  </si>
  <si>
    <t xml:space="preserve">[US6_20] [US6_42] (Chờ BA — chỉ phần chi tiết); nhóm B [US6_62]</t>
  </si>
  <si>
    <t xml:space="preserve">Mở</t>
  </si>
  <si>
    <t xml:space="preserve">Q-10</t>
  </si>
  <si>
    <t xml:space="preserve">Màn 13: nút Đăng ký tắt/bật; ô toàn khoảng trắng; có Quay lại không; cả hai ô cùng sai</t>
  </si>
  <si>
    <t xml:space="preserve">nhóm B [US6_64] [US6_65]</t>
  </si>
  <si>
    <t xml:space="preserve">Q-11</t>
  </si>
  <si>
    <t xml:space="preserve">Con số US2: số lần gửi / giờ, số lần sai, thời gian khóa</t>
  </si>
  <si>
    <t xml:space="preserve">Mở — thuộc US2 (US4 Q-11 cũng chờ)</t>
  </si>
  <si>
    <t xml:space="preserve">Q-12</t>
  </si>
  <si>
    <t xml:space="preserve">API gửi OTP email / verify / tạo tài khoản và mã lỗi từng AC</t>
  </si>
  <si>
    <t xml:space="preserve">Cột Error Code trống toàn file; [US6_07] [US6_16] [US6_28] [US6_59] cần tên API</t>
  </si>
  <si>
    <t xml:space="preserve">Mở — chờ BE Chiến</t>
  </si>
  <si>
    <t xml:space="preserve">Q-13</t>
  </si>
  <si>
    <t xml:space="preserve">Response rớt sau khi BE đã tạo tài khoản</t>
  </si>
  <si>
    <t xml:space="preserve">Mở — chờ BA / BE</t>
  </si>
  <si>
    <t xml:space="preserve">Q-14</t>
  </si>
  <si>
    <t xml:space="preserve">Phần tử chỉ có trên wireframe màn 11; ngoài VN hiện tab thế nào; bản nháp "Chình"</t>
  </si>
  <si>
    <t xml:space="preserve">[US6_44] bước 1 (Chờ BA — chỉ cách hiện tab); nhóm B [US6_71] [US6_62]</t>
  </si>
  <si>
    <t xml:space="preserve">Cách dùng</t>
  </si>
  <si>
    <t xml:space="preserve">Chỉ sửa cột Round 1 / Round 2 / Round 3 (chọn từ dropdown Todo/Pass/Fail/NA), Error Code, Note, Date, Tester. Các cột còn lại là thiết kế, sửa ở file 04-testcases.md trong wiki rồi xuất lại.</t>
  </si>
  <si>
    <t xml:space="preserve">Dòng tô vàng</t>
  </si>
  <si>
    <t xml:space="preserve">Case ❓ Cần chốt: còn chờ BA trả lời câu Q-nn ghi ở cột Note; chạy theo phương án QA tạm chọn, kết quả ghi lại nhưng chưa dùng để kết luận pass/fail cho tới khi BA chốt.</t>
  </si>
</sst>
</file>

<file path=xl/styles.xml><?xml version="1.0" encoding="utf-8"?>
<styleSheet xmlns="http://schemas.openxmlformats.org/spreadsheetml/2006/main">
  <numFmts count="1">
    <numFmt numFmtId="164" formatCode="General"/>
  </numFmts>
  <fonts count="6">
    <font>
      <sz val="10"/>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D9E1F2"/>
        <bgColor rgb="FFCCFFFF"/>
      </patternFill>
    </fill>
    <fill>
      <patternFill patternType="solid">
        <fgColor rgb="FFFFF2CC"/>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center" vertical="top" textRotation="0" wrapText="fals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10"/>
    <col collapsed="false" customWidth="true" hidden="false" outlineLevel="0" max="4" min="4" style="0" width="14"/>
    <col collapsed="false" customWidth="true" hidden="false" outlineLevel="0" max="5" min="5" style="0" width="30"/>
    <col collapsed="false" customWidth="true" hidden="false" outlineLevel="0" max="6" min="6" style="0" width="48"/>
    <col collapsed="false" customWidth="true" hidden="false" outlineLevel="0" max="7" min="7" style="0" width="22"/>
    <col collapsed="false" customWidth="true" hidden="false" outlineLevel="0" max="8" min="8" style="0" width="55"/>
    <col collapsed="false" customWidth="true" hidden="false" outlineLevel="0" max="11" min="9" style="0" width="9"/>
    <col collapsed="false" customWidth="true" hidden="false" outlineLevel="0" max="12" min="12" style="0" width="10"/>
    <col collapsed="false" customWidth="true" hidden="false" outlineLevel="0" max="13" min="13" style="0" width="40"/>
    <col collapsed="false" customWidth="true" hidden="false" outlineLevel="0" max="15" min="14" style="0" width="10"/>
  </cols>
  <sheetData>
    <row r="1" customFormat="false" ht="24"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s">
        <v>15</v>
      </c>
      <c r="B2" s="2"/>
      <c r="C2" s="2"/>
      <c r="D2" s="2"/>
      <c r="E2" s="2"/>
      <c r="F2" s="2"/>
      <c r="G2" s="2"/>
      <c r="H2" s="2"/>
      <c r="I2" s="2"/>
      <c r="J2" s="2"/>
      <c r="K2" s="2"/>
      <c r="L2" s="2"/>
      <c r="M2" s="2"/>
      <c r="N2" s="2"/>
      <c r="O2" s="2"/>
    </row>
    <row r="3" customFormat="false" ht="15" hidden="false" customHeight="false" outlineLevel="0" collapsed="false">
      <c r="A3" s="2" t="s">
        <v>16</v>
      </c>
      <c r="B3" s="2"/>
      <c r="C3" s="2"/>
      <c r="D3" s="2"/>
      <c r="E3" s="2"/>
      <c r="F3" s="2"/>
      <c r="G3" s="2"/>
      <c r="H3" s="2"/>
      <c r="I3" s="2"/>
      <c r="J3" s="2"/>
      <c r="K3" s="2"/>
      <c r="L3" s="2"/>
      <c r="M3" s="2"/>
      <c r="N3" s="2"/>
      <c r="O3" s="2"/>
    </row>
    <row r="4" customFormat="false" ht="91" hidden="false" customHeight="false" outlineLevel="0" collapsed="false">
      <c r="A4" s="3" t="s">
        <v>17</v>
      </c>
      <c r="B4" s="3" t="s">
        <v>18</v>
      </c>
      <c r="C4" s="3" t="s">
        <v>19</v>
      </c>
      <c r="D4" s="3" t="s">
        <v>20</v>
      </c>
      <c r="E4" s="3" t="s">
        <v>21</v>
      </c>
      <c r="F4" s="3" t="s">
        <v>22</v>
      </c>
      <c r="G4" s="3" t="s">
        <v>23</v>
      </c>
      <c r="H4" s="3" t="s">
        <v>24</v>
      </c>
      <c r="I4" s="4" t="s">
        <v>25</v>
      </c>
      <c r="J4" s="4" t="s">
        <v>25</v>
      </c>
      <c r="K4" s="4" t="s">
        <v>25</v>
      </c>
      <c r="L4" s="3"/>
      <c r="M4" s="3" t="s">
        <v>26</v>
      </c>
      <c r="N4" s="3"/>
      <c r="O4" s="3"/>
    </row>
    <row r="5" customFormat="false" ht="68.65" hidden="false" customHeight="false" outlineLevel="0" collapsed="false">
      <c r="A5" s="3" t="s">
        <v>27</v>
      </c>
      <c r="B5" s="3" t="s">
        <v>28</v>
      </c>
      <c r="C5" s="3" t="s">
        <v>19</v>
      </c>
      <c r="D5" s="3" t="s">
        <v>29</v>
      </c>
      <c r="E5" s="3" t="s">
        <v>30</v>
      </c>
      <c r="F5" s="3" t="s">
        <v>31</v>
      </c>
      <c r="G5" s="3" t="s">
        <v>23</v>
      </c>
      <c r="H5" s="3" t="s">
        <v>32</v>
      </c>
      <c r="I5" s="4" t="s">
        <v>25</v>
      </c>
      <c r="J5" s="4" t="s">
        <v>25</v>
      </c>
      <c r="K5" s="4" t="s">
        <v>25</v>
      </c>
      <c r="L5" s="3"/>
      <c r="M5" s="3" t="s">
        <v>33</v>
      </c>
      <c r="N5" s="3"/>
      <c r="O5" s="3"/>
    </row>
    <row r="6" customFormat="false" ht="15" hidden="false" customHeight="false" outlineLevel="0" collapsed="false">
      <c r="A6" s="2" t="s">
        <v>34</v>
      </c>
      <c r="B6" s="2"/>
      <c r="C6" s="2"/>
      <c r="D6" s="2"/>
      <c r="E6" s="2"/>
      <c r="F6" s="2"/>
      <c r="G6" s="2"/>
      <c r="H6" s="2"/>
      <c r="I6" s="2"/>
      <c r="J6" s="2"/>
      <c r="K6" s="2"/>
      <c r="L6" s="2"/>
      <c r="M6" s="2"/>
      <c r="N6" s="2"/>
      <c r="O6" s="2"/>
    </row>
    <row r="7" customFormat="false" ht="91" hidden="false" customHeight="false" outlineLevel="0" collapsed="false">
      <c r="A7" s="3" t="s">
        <v>35</v>
      </c>
      <c r="B7" s="3" t="s">
        <v>36</v>
      </c>
      <c r="C7" s="3" t="s">
        <v>37</v>
      </c>
      <c r="D7" s="3" t="s">
        <v>38</v>
      </c>
      <c r="E7" s="3" t="s">
        <v>39</v>
      </c>
      <c r="F7" s="3" t="s">
        <v>40</v>
      </c>
      <c r="G7" s="3" t="s">
        <v>23</v>
      </c>
      <c r="H7" s="3" t="s">
        <v>41</v>
      </c>
      <c r="I7" s="4" t="s">
        <v>25</v>
      </c>
      <c r="J7" s="4" t="s">
        <v>25</v>
      </c>
      <c r="K7" s="4" t="s">
        <v>25</v>
      </c>
      <c r="L7" s="3"/>
      <c r="M7" s="3" t="s">
        <v>42</v>
      </c>
      <c r="N7" s="3"/>
      <c r="O7" s="3"/>
    </row>
    <row r="8" customFormat="false" ht="91" hidden="false" customHeight="false" outlineLevel="0" collapsed="false">
      <c r="A8" s="3" t="s">
        <v>43</v>
      </c>
      <c r="B8" s="3" t="s">
        <v>44</v>
      </c>
      <c r="C8" s="3" t="s">
        <v>37</v>
      </c>
      <c r="D8" s="3" t="s">
        <v>38</v>
      </c>
      <c r="E8" s="3" t="s">
        <v>45</v>
      </c>
      <c r="F8" s="3" t="s">
        <v>46</v>
      </c>
      <c r="G8" s="3" t="s">
        <v>47</v>
      </c>
      <c r="H8" s="3" t="s">
        <v>48</v>
      </c>
      <c r="I8" s="4" t="s">
        <v>25</v>
      </c>
      <c r="J8" s="4" t="s">
        <v>25</v>
      </c>
      <c r="K8" s="4" t="s">
        <v>25</v>
      </c>
      <c r="L8" s="3"/>
      <c r="M8" s="3" t="s">
        <v>49</v>
      </c>
      <c r="N8" s="3"/>
      <c r="O8" s="3"/>
    </row>
    <row r="9" customFormat="false" ht="91" hidden="false" customHeight="false" outlineLevel="0" collapsed="false">
      <c r="A9" s="3" t="s">
        <v>50</v>
      </c>
      <c r="B9" s="3" t="s">
        <v>51</v>
      </c>
      <c r="C9" s="3" t="s">
        <v>37</v>
      </c>
      <c r="D9" s="3" t="s">
        <v>52</v>
      </c>
      <c r="E9" s="3" t="s">
        <v>53</v>
      </c>
      <c r="F9" s="3" t="s">
        <v>54</v>
      </c>
      <c r="G9" s="3" t="s">
        <v>55</v>
      </c>
      <c r="H9" s="3" t="s">
        <v>56</v>
      </c>
      <c r="I9" s="4" t="s">
        <v>25</v>
      </c>
      <c r="J9" s="4" t="s">
        <v>25</v>
      </c>
      <c r="K9" s="4" t="s">
        <v>25</v>
      </c>
      <c r="L9" s="3"/>
      <c r="M9" s="3" t="s">
        <v>57</v>
      </c>
      <c r="N9" s="3"/>
      <c r="O9" s="3"/>
    </row>
    <row r="10" customFormat="false" ht="15" hidden="false" customHeight="false" outlineLevel="0" collapsed="false">
      <c r="A10" s="2" t="s">
        <v>58</v>
      </c>
      <c r="B10" s="2"/>
      <c r="C10" s="2"/>
      <c r="D10" s="2"/>
      <c r="E10" s="2"/>
      <c r="F10" s="2"/>
      <c r="G10" s="2"/>
      <c r="H10" s="2"/>
      <c r="I10" s="2"/>
      <c r="J10" s="2"/>
      <c r="K10" s="2"/>
      <c r="L10" s="2"/>
      <c r="M10" s="2"/>
      <c r="N10" s="2"/>
      <c r="O10" s="2"/>
    </row>
    <row r="11" customFormat="false" ht="225.35" hidden="false" customHeight="false" outlineLevel="0" collapsed="false">
      <c r="A11" s="3" t="s">
        <v>59</v>
      </c>
      <c r="B11" s="3" t="s">
        <v>60</v>
      </c>
      <c r="C11" s="3" t="s">
        <v>61</v>
      </c>
      <c r="D11" s="3" t="s">
        <v>62</v>
      </c>
      <c r="E11" s="3" t="s">
        <v>63</v>
      </c>
      <c r="F11" s="3" t="s">
        <v>64</v>
      </c>
      <c r="G11" s="3" t="s">
        <v>65</v>
      </c>
      <c r="H11" s="3" t="s">
        <v>66</v>
      </c>
      <c r="I11" s="4" t="s">
        <v>25</v>
      </c>
      <c r="J11" s="4" t="s">
        <v>25</v>
      </c>
      <c r="K11" s="4" t="s">
        <v>25</v>
      </c>
      <c r="L11" s="3"/>
      <c r="M11" s="3" t="s">
        <v>67</v>
      </c>
      <c r="N11" s="3"/>
      <c r="O11" s="3"/>
    </row>
    <row r="12" customFormat="false" ht="147" hidden="false" customHeight="false" outlineLevel="0" collapsed="false">
      <c r="A12" s="5" t="s">
        <v>68</v>
      </c>
      <c r="B12" s="5" t="s">
        <v>69</v>
      </c>
      <c r="C12" s="5" t="s">
        <v>37</v>
      </c>
      <c r="D12" s="5" t="s">
        <v>62</v>
      </c>
      <c r="E12" s="5" t="s">
        <v>70</v>
      </c>
      <c r="F12" s="5" t="s">
        <v>71</v>
      </c>
      <c r="G12" s="5" t="s">
        <v>72</v>
      </c>
      <c r="H12" s="5" t="s">
        <v>73</v>
      </c>
      <c r="I12" s="6" t="s">
        <v>25</v>
      </c>
      <c r="J12" s="6" t="s">
        <v>25</v>
      </c>
      <c r="K12" s="6" t="s">
        <v>25</v>
      </c>
      <c r="L12" s="5"/>
      <c r="M12" s="5" t="s">
        <v>74</v>
      </c>
      <c r="N12" s="5"/>
      <c r="O12" s="5"/>
    </row>
    <row r="13" customFormat="false" ht="102.2" hidden="false" customHeight="false" outlineLevel="0" collapsed="false">
      <c r="A13" s="3" t="s">
        <v>75</v>
      </c>
      <c r="B13" s="3" t="s">
        <v>76</v>
      </c>
      <c r="C13" s="3" t="s">
        <v>77</v>
      </c>
      <c r="D13" s="3" t="s">
        <v>78</v>
      </c>
      <c r="E13" s="3" t="s">
        <v>79</v>
      </c>
      <c r="F13" s="3" t="s">
        <v>80</v>
      </c>
      <c r="G13" s="3" t="s">
        <v>81</v>
      </c>
      <c r="H13" s="3" t="s">
        <v>82</v>
      </c>
      <c r="I13" s="4" t="s">
        <v>25</v>
      </c>
      <c r="J13" s="4" t="s">
        <v>25</v>
      </c>
      <c r="K13" s="4" t="s">
        <v>25</v>
      </c>
      <c r="L13" s="3"/>
      <c r="M13" s="3" t="s">
        <v>83</v>
      </c>
      <c r="N13" s="3"/>
      <c r="O13" s="3"/>
    </row>
    <row r="14" customFormat="false" ht="102.2" hidden="false" customHeight="false" outlineLevel="0" collapsed="false">
      <c r="A14" s="3" t="s">
        <v>84</v>
      </c>
      <c r="B14" s="3" t="s">
        <v>85</v>
      </c>
      <c r="C14" s="3" t="s">
        <v>77</v>
      </c>
      <c r="D14" s="3" t="s">
        <v>62</v>
      </c>
      <c r="E14" s="3" t="s">
        <v>86</v>
      </c>
      <c r="F14" s="3" t="s">
        <v>87</v>
      </c>
      <c r="G14" s="3" t="s">
        <v>88</v>
      </c>
      <c r="H14" s="3" t="s">
        <v>89</v>
      </c>
      <c r="I14" s="4" t="s">
        <v>25</v>
      </c>
      <c r="J14" s="4" t="s">
        <v>25</v>
      </c>
      <c r="K14" s="4" t="s">
        <v>25</v>
      </c>
      <c r="L14" s="3"/>
      <c r="M14" s="3" t="s">
        <v>90</v>
      </c>
      <c r="N14" s="3"/>
      <c r="O14" s="3"/>
    </row>
    <row r="15" customFormat="false" ht="91" hidden="false" customHeight="false" outlineLevel="0" collapsed="false">
      <c r="A15" s="3" t="s">
        <v>91</v>
      </c>
      <c r="B15" s="3" t="s">
        <v>92</v>
      </c>
      <c r="C15" s="3" t="s">
        <v>77</v>
      </c>
      <c r="D15" s="3" t="s">
        <v>62</v>
      </c>
      <c r="E15" s="3" t="s">
        <v>93</v>
      </c>
      <c r="F15" s="3" t="s">
        <v>94</v>
      </c>
      <c r="G15" s="3" t="s">
        <v>95</v>
      </c>
      <c r="H15" s="3" t="s">
        <v>89</v>
      </c>
      <c r="I15" s="4" t="s">
        <v>25</v>
      </c>
      <c r="J15" s="4" t="s">
        <v>25</v>
      </c>
      <c r="K15" s="4" t="s">
        <v>25</v>
      </c>
      <c r="L15" s="3"/>
      <c r="M15" s="3" t="s">
        <v>96</v>
      </c>
      <c r="N15" s="3"/>
      <c r="O15" s="3"/>
    </row>
    <row r="16" customFormat="false" ht="79.85" hidden="false" customHeight="false" outlineLevel="0" collapsed="false">
      <c r="A16" s="3" t="s">
        <v>97</v>
      </c>
      <c r="B16" s="3" t="s">
        <v>98</v>
      </c>
      <c r="C16" s="3" t="s">
        <v>99</v>
      </c>
      <c r="D16" s="3" t="s">
        <v>62</v>
      </c>
      <c r="E16" s="3" t="s">
        <v>100</v>
      </c>
      <c r="F16" s="3" t="s">
        <v>101</v>
      </c>
      <c r="G16" s="3" t="s">
        <v>102</v>
      </c>
      <c r="H16" s="3" t="s">
        <v>103</v>
      </c>
      <c r="I16" s="4" t="s">
        <v>25</v>
      </c>
      <c r="J16" s="4" t="s">
        <v>25</v>
      </c>
      <c r="K16" s="4" t="s">
        <v>25</v>
      </c>
      <c r="L16" s="3"/>
      <c r="M16" s="3" t="s">
        <v>104</v>
      </c>
      <c r="N16" s="3"/>
      <c r="O16" s="3"/>
    </row>
    <row r="17" customFormat="false" ht="124.6" hidden="false" customHeight="false" outlineLevel="0" collapsed="false">
      <c r="A17" s="3" t="s">
        <v>105</v>
      </c>
      <c r="B17" s="3" t="s">
        <v>106</v>
      </c>
      <c r="C17" s="3" t="s">
        <v>77</v>
      </c>
      <c r="D17" s="3" t="s">
        <v>62</v>
      </c>
      <c r="E17" s="3" t="s">
        <v>107</v>
      </c>
      <c r="F17" s="3" t="s">
        <v>108</v>
      </c>
      <c r="G17" s="3" t="s">
        <v>109</v>
      </c>
      <c r="H17" s="3" t="s">
        <v>110</v>
      </c>
      <c r="I17" s="4" t="s">
        <v>25</v>
      </c>
      <c r="J17" s="4" t="s">
        <v>25</v>
      </c>
      <c r="K17" s="4" t="s">
        <v>25</v>
      </c>
      <c r="L17" s="3"/>
      <c r="M17" s="3" t="s">
        <v>111</v>
      </c>
      <c r="N17" s="3"/>
      <c r="O17" s="3"/>
    </row>
    <row r="18" customFormat="false" ht="15" hidden="false" customHeight="false" outlineLevel="0" collapsed="false">
      <c r="A18" s="2" t="s">
        <v>112</v>
      </c>
      <c r="B18" s="2"/>
      <c r="C18" s="2"/>
      <c r="D18" s="2"/>
      <c r="E18" s="2"/>
      <c r="F18" s="2"/>
      <c r="G18" s="2"/>
      <c r="H18" s="2"/>
      <c r="I18" s="2"/>
      <c r="J18" s="2"/>
      <c r="K18" s="2"/>
      <c r="L18" s="2"/>
      <c r="M18" s="2"/>
      <c r="N18" s="2"/>
      <c r="O18" s="2"/>
    </row>
    <row r="19" customFormat="false" ht="79.85" hidden="false" customHeight="false" outlineLevel="0" collapsed="false">
      <c r="A19" s="3" t="s">
        <v>113</v>
      </c>
      <c r="B19" s="3" t="s">
        <v>114</v>
      </c>
      <c r="C19" s="3" t="s">
        <v>77</v>
      </c>
      <c r="D19" s="3" t="s">
        <v>115</v>
      </c>
      <c r="E19" s="3" t="s">
        <v>116</v>
      </c>
      <c r="F19" s="3" t="s">
        <v>117</v>
      </c>
      <c r="G19" s="3" t="s">
        <v>118</v>
      </c>
      <c r="H19" s="3" t="s">
        <v>119</v>
      </c>
      <c r="I19" s="4" t="s">
        <v>25</v>
      </c>
      <c r="J19" s="4" t="s">
        <v>25</v>
      </c>
      <c r="K19" s="4" t="s">
        <v>25</v>
      </c>
      <c r="L19" s="3"/>
      <c r="M19" s="3" t="s">
        <v>120</v>
      </c>
      <c r="N19" s="3"/>
      <c r="O19" s="3"/>
    </row>
    <row r="20" customFormat="false" ht="91" hidden="false" customHeight="false" outlineLevel="0" collapsed="false">
      <c r="A20" s="3" t="s">
        <v>121</v>
      </c>
      <c r="B20" s="3" t="s">
        <v>122</v>
      </c>
      <c r="C20" s="3" t="s">
        <v>61</v>
      </c>
      <c r="D20" s="3" t="s">
        <v>123</v>
      </c>
      <c r="E20" s="3" t="s">
        <v>124</v>
      </c>
      <c r="F20" s="3" t="s">
        <v>125</v>
      </c>
      <c r="G20" s="3" t="s">
        <v>126</v>
      </c>
      <c r="H20" s="3" t="s">
        <v>127</v>
      </c>
      <c r="I20" s="4" t="s">
        <v>25</v>
      </c>
      <c r="J20" s="4" t="s">
        <v>25</v>
      </c>
      <c r="K20" s="4" t="s">
        <v>25</v>
      </c>
      <c r="L20" s="3"/>
      <c r="M20" s="3" t="s">
        <v>128</v>
      </c>
      <c r="N20" s="3"/>
      <c r="O20" s="3"/>
    </row>
    <row r="21" customFormat="false" ht="68.65" hidden="false" customHeight="false" outlineLevel="0" collapsed="false">
      <c r="A21" s="3" t="s">
        <v>129</v>
      </c>
      <c r="B21" s="3" t="s">
        <v>130</v>
      </c>
      <c r="C21" s="3" t="s">
        <v>61</v>
      </c>
      <c r="D21" s="3" t="s">
        <v>131</v>
      </c>
      <c r="E21" s="3" t="s">
        <v>132</v>
      </c>
      <c r="F21" s="3" t="s">
        <v>133</v>
      </c>
      <c r="G21" s="3" t="s">
        <v>134</v>
      </c>
      <c r="H21" s="3" t="s">
        <v>135</v>
      </c>
      <c r="I21" s="4" t="s">
        <v>25</v>
      </c>
      <c r="J21" s="4" t="s">
        <v>25</v>
      </c>
      <c r="K21" s="4" t="s">
        <v>25</v>
      </c>
      <c r="L21" s="3"/>
      <c r="M21" s="3" t="s">
        <v>136</v>
      </c>
      <c r="N21" s="3"/>
      <c r="O21" s="3"/>
    </row>
    <row r="22" customFormat="false" ht="68.65" hidden="false" customHeight="false" outlineLevel="0" collapsed="false">
      <c r="A22" s="3" t="s">
        <v>137</v>
      </c>
      <c r="B22" s="3" t="s">
        <v>138</v>
      </c>
      <c r="C22" s="3" t="s">
        <v>61</v>
      </c>
      <c r="D22" s="3" t="s">
        <v>139</v>
      </c>
      <c r="E22" s="3" t="s">
        <v>140</v>
      </c>
      <c r="F22" s="3" t="s">
        <v>141</v>
      </c>
      <c r="G22" s="3" t="s">
        <v>142</v>
      </c>
      <c r="H22" s="3" t="s">
        <v>143</v>
      </c>
      <c r="I22" s="4" t="s">
        <v>25</v>
      </c>
      <c r="J22" s="4" t="s">
        <v>25</v>
      </c>
      <c r="K22" s="4" t="s">
        <v>25</v>
      </c>
      <c r="L22" s="3"/>
      <c r="M22" s="3" t="s">
        <v>144</v>
      </c>
      <c r="N22" s="3"/>
      <c r="O22" s="3"/>
    </row>
    <row r="23" customFormat="false" ht="57.45" hidden="false" customHeight="false" outlineLevel="0" collapsed="false">
      <c r="A23" s="3" t="s">
        <v>145</v>
      </c>
      <c r="B23" s="3" t="s">
        <v>146</v>
      </c>
      <c r="C23" s="3" t="s">
        <v>61</v>
      </c>
      <c r="D23" s="3" t="s">
        <v>123</v>
      </c>
      <c r="E23" s="3" t="s">
        <v>147</v>
      </c>
      <c r="F23" s="3" t="s">
        <v>117</v>
      </c>
      <c r="G23" s="3" t="s">
        <v>148</v>
      </c>
      <c r="H23" s="3" t="s">
        <v>149</v>
      </c>
      <c r="I23" s="4" t="s">
        <v>25</v>
      </c>
      <c r="J23" s="4" t="s">
        <v>25</v>
      </c>
      <c r="K23" s="4" t="s">
        <v>25</v>
      </c>
      <c r="L23" s="3"/>
      <c r="M23" s="3" t="s">
        <v>150</v>
      </c>
      <c r="N23" s="3"/>
      <c r="O23" s="3"/>
    </row>
    <row r="24" customFormat="false" ht="102.2" hidden="false" customHeight="false" outlineLevel="0" collapsed="false">
      <c r="A24" s="3" t="s">
        <v>151</v>
      </c>
      <c r="B24" s="3" t="s">
        <v>152</v>
      </c>
      <c r="C24" s="3" t="s">
        <v>61</v>
      </c>
      <c r="D24" s="3" t="s">
        <v>153</v>
      </c>
      <c r="E24" s="3" t="s">
        <v>154</v>
      </c>
      <c r="F24" s="3" t="s">
        <v>155</v>
      </c>
      <c r="G24" s="3" t="s">
        <v>156</v>
      </c>
      <c r="H24" s="3" t="s">
        <v>157</v>
      </c>
      <c r="I24" s="4" t="s">
        <v>25</v>
      </c>
      <c r="J24" s="4" t="s">
        <v>25</v>
      </c>
      <c r="K24" s="4" t="s">
        <v>25</v>
      </c>
      <c r="L24" s="3"/>
      <c r="M24" s="3" t="s">
        <v>158</v>
      </c>
      <c r="N24" s="3"/>
      <c r="O24" s="3"/>
    </row>
    <row r="25" customFormat="false" ht="91" hidden="false" customHeight="false" outlineLevel="0" collapsed="false">
      <c r="A25" s="5" t="s">
        <v>159</v>
      </c>
      <c r="B25" s="5" t="s">
        <v>160</v>
      </c>
      <c r="C25" s="5" t="s">
        <v>99</v>
      </c>
      <c r="D25" s="5" t="s">
        <v>161</v>
      </c>
      <c r="E25" s="5" t="s">
        <v>162</v>
      </c>
      <c r="F25" s="5" t="s">
        <v>163</v>
      </c>
      <c r="G25" s="5" t="s">
        <v>164</v>
      </c>
      <c r="H25" s="5" t="s">
        <v>165</v>
      </c>
      <c r="I25" s="6" t="s">
        <v>25</v>
      </c>
      <c r="J25" s="6" t="s">
        <v>25</v>
      </c>
      <c r="K25" s="6" t="s">
        <v>25</v>
      </c>
      <c r="L25" s="5"/>
      <c r="M25" s="5" t="s">
        <v>166</v>
      </c>
      <c r="N25" s="5"/>
      <c r="O25" s="5"/>
    </row>
    <row r="26" customFormat="false" ht="68.65" hidden="false" customHeight="false" outlineLevel="0" collapsed="false">
      <c r="A26" s="5" t="s">
        <v>167</v>
      </c>
      <c r="B26" s="5" t="s">
        <v>168</v>
      </c>
      <c r="C26" s="5" t="s">
        <v>37</v>
      </c>
      <c r="D26" s="5" t="s">
        <v>169</v>
      </c>
      <c r="E26" s="5" t="s">
        <v>170</v>
      </c>
      <c r="F26" s="5" t="s">
        <v>171</v>
      </c>
      <c r="G26" s="5" t="s">
        <v>172</v>
      </c>
      <c r="H26" s="5" t="s">
        <v>173</v>
      </c>
      <c r="I26" s="6" t="s">
        <v>25</v>
      </c>
      <c r="J26" s="6" t="s">
        <v>25</v>
      </c>
      <c r="K26" s="6" t="s">
        <v>25</v>
      </c>
      <c r="L26" s="5"/>
      <c r="M26" s="5" t="s">
        <v>174</v>
      </c>
      <c r="N26" s="5"/>
      <c r="O26" s="5"/>
    </row>
    <row r="27" customFormat="false" ht="102.2" hidden="false" customHeight="false" outlineLevel="0" collapsed="false">
      <c r="A27" s="5" t="s">
        <v>175</v>
      </c>
      <c r="B27" s="5" t="s">
        <v>176</v>
      </c>
      <c r="C27" s="5" t="s">
        <v>99</v>
      </c>
      <c r="D27" s="5" t="s">
        <v>177</v>
      </c>
      <c r="E27" s="5" t="s">
        <v>178</v>
      </c>
      <c r="F27" s="5" t="s">
        <v>179</v>
      </c>
      <c r="G27" s="5" t="s">
        <v>180</v>
      </c>
      <c r="H27" s="5" t="s">
        <v>181</v>
      </c>
      <c r="I27" s="6" t="s">
        <v>25</v>
      </c>
      <c r="J27" s="6" t="s">
        <v>25</v>
      </c>
      <c r="K27" s="6" t="s">
        <v>25</v>
      </c>
      <c r="L27" s="5"/>
      <c r="M27" s="5" t="s">
        <v>182</v>
      </c>
      <c r="N27" s="5"/>
      <c r="O27" s="5"/>
    </row>
    <row r="28" customFormat="false" ht="15" hidden="false" customHeight="false" outlineLevel="0" collapsed="false">
      <c r="A28" s="2" t="s">
        <v>183</v>
      </c>
      <c r="B28" s="2"/>
      <c r="C28" s="2"/>
      <c r="D28" s="2"/>
      <c r="E28" s="2"/>
      <c r="F28" s="2"/>
      <c r="G28" s="2"/>
      <c r="H28" s="2"/>
      <c r="I28" s="2"/>
      <c r="J28" s="2"/>
      <c r="K28" s="2"/>
      <c r="L28" s="2"/>
      <c r="M28" s="2"/>
      <c r="N28" s="2"/>
      <c r="O28" s="2"/>
    </row>
    <row r="29" customFormat="false" ht="91" hidden="false" customHeight="false" outlineLevel="0" collapsed="false">
      <c r="A29" s="3" t="s">
        <v>184</v>
      </c>
      <c r="B29" s="3" t="s">
        <v>185</v>
      </c>
      <c r="C29" s="3" t="s">
        <v>61</v>
      </c>
      <c r="D29" s="3" t="s">
        <v>186</v>
      </c>
      <c r="E29" s="3" t="s">
        <v>187</v>
      </c>
      <c r="F29" s="3" t="s">
        <v>188</v>
      </c>
      <c r="G29" s="3" t="s">
        <v>189</v>
      </c>
      <c r="H29" s="3" t="s">
        <v>190</v>
      </c>
      <c r="I29" s="4" t="s">
        <v>25</v>
      </c>
      <c r="J29" s="4" t="s">
        <v>25</v>
      </c>
      <c r="K29" s="4" t="s">
        <v>25</v>
      </c>
      <c r="L29" s="3"/>
      <c r="M29" s="3" t="s">
        <v>191</v>
      </c>
      <c r="N29" s="3"/>
      <c r="O29" s="3"/>
    </row>
    <row r="30" customFormat="false" ht="79.85" hidden="false" customHeight="false" outlineLevel="0" collapsed="false">
      <c r="A30" s="5" t="s">
        <v>192</v>
      </c>
      <c r="B30" s="5" t="s">
        <v>193</v>
      </c>
      <c r="C30" s="5" t="s">
        <v>77</v>
      </c>
      <c r="D30" s="5" t="s">
        <v>194</v>
      </c>
      <c r="E30" s="5" t="s">
        <v>195</v>
      </c>
      <c r="F30" s="5" t="s">
        <v>196</v>
      </c>
      <c r="G30" s="5" t="s">
        <v>189</v>
      </c>
      <c r="H30" s="5" t="s">
        <v>197</v>
      </c>
      <c r="I30" s="6" t="s">
        <v>25</v>
      </c>
      <c r="J30" s="6" t="s">
        <v>25</v>
      </c>
      <c r="K30" s="6" t="s">
        <v>25</v>
      </c>
      <c r="L30" s="5"/>
      <c r="M30" s="5" t="s">
        <v>198</v>
      </c>
      <c r="N30" s="5"/>
      <c r="O30" s="5"/>
    </row>
    <row r="31" customFormat="false" ht="15" hidden="false" customHeight="false" outlineLevel="0" collapsed="false">
      <c r="A31" s="2" t="s">
        <v>199</v>
      </c>
      <c r="B31" s="2"/>
      <c r="C31" s="2"/>
      <c r="D31" s="2"/>
      <c r="E31" s="2"/>
      <c r="F31" s="2"/>
      <c r="G31" s="2"/>
      <c r="H31" s="2"/>
      <c r="I31" s="2"/>
      <c r="J31" s="2"/>
      <c r="K31" s="2"/>
      <c r="L31" s="2"/>
      <c r="M31" s="2"/>
      <c r="N31" s="2"/>
      <c r="O31" s="2"/>
    </row>
    <row r="32" customFormat="false" ht="113.4" hidden="false" customHeight="false" outlineLevel="0" collapsed="false">
      <c r="A32" s="3" t="s">
        <v>200</v>
      </c>
      <c r="B32" s="3" t="s">
        <v>201</v>
      </c>
      <c r="C32" s="3" t="s">
        <v>19</v>
      </c>
      <c r="D32" s="3" t="s">
        <v>202</v>
      </c>
      <c r="E32" s="3" t="s">
        <v>203</v>
      </c>
      <c r="F32" s="3" t="s">
        <v>204</v>
      </c>
      <c r="G32" s="3" t="s">
        <v>189</v>
      </c>
      <c r="H32" s="3" t="s">
        <v>205</v>
      </c>
      <c r="I32" s="4" t="s">
        <v>25</v>
      </c>
      <c r="J32" s="4" t="s">
        <v>25</v>
      </c>
      <c r="K32" s="4" t="s">
        <v>25</v>
      </c>
      <c r="L32" s="3"/>
      <c r="M32" s="3" t="s">
        <v>206</v>
      </c>
      <c r="N32" s="3"/>
      <c r="O32" s="3"/>
    </row>
    <row r="33" customFormat="false" ht="102.2" hidden="false" customHeight="false" outlineLevel="0" collapsed="false">
      <c r="A33" s="3" t="s">
        <v>207</v>
      </c>
      <c r="B33" s="3" t="s">
        <v>208</v>
      </c>
      <c r="C33" s="3" t="s">
        <v>77</v>
      </c>
      <c r="D33" s="3" t="s">
        <v>209</v>
      </c>
      <c r="E33" s="3" t="s">
        <v>210</v>
      </c>
      <c r="F33" s="3" t="s">
        <v>211</v>
      </c>
      <c r="G33" s="3" t="s">
        <v>212</v>
      </c>
      <c r="H33" s="3" t="s">
        <v>213</v>
      </c>
      <c r="I33" s="4" t="s">
        <v>25</v>
      </c>
      <c r="J33" s="4" t="s">
        <v>25</v>
      </c>
      <c r="K33" s="4" t="s">
        <v>25</v>
      </c>
      <c r="L33" s="3"/>
      <c r="M33" s="3" t="s">
        <v>214</v>
      </c>
      <c r="N33" s="3"/>
      <c r="O33" s="3"/>
    </row>
    <row r="34" customFormat="false" ht="15" hidden="false" customHeight="false" outlineLevel="0" collapsed="false">
      <c r="A34" s="2" t="s">
        <v>215</v>
      </c>
      <c r="B34" s="2"/>
      <c r="C34" s="2"/>
      <c r="D34" s="2"/>
      <c r="E34" s="2"/>
      <c r="F34" s="2"/>
      <c r="G34" s="2"/>
      <c r="H34" s="2"/>
      <c r="I34" s="2"/>
      <c r="J34" s="2"/>
      <c r="K34" s="2"/>
      <c r="L34" s="2"/>
      <c r="M34" s="2"/>
      <c r="N34" s="2"/>
      <c r="O34" s="2"/>
    </row>
    <row r="35" customFormat="false" ht="79.85" hidden="false" customHeight="false" outlineLevel="0" collapsed="false">
      <c r="A35" s="3" t="s">
        <v>216</v>
      </c>
      <c r="B35" s="3" t="s">
        <v>217</v>
      </c>
      <c r="C35" s="3" t="s">
        <v>61</v>
      </c>
      <c r="D35" s="3" t="s">
        <v>218</v>
      </c>
      <c r="E35" s="3" t="s">
        <v>219</v>
      </c>
      <c r="F35" s="3" t="s">
        <v>220</v>
      </c>
      <c r="G35" s="3" t="s">
        <v>221</v>
      </c>
      <c r="H35" s="3" t="s">
        <v>222</v>
      </c>
      <c r="I35" s="4" t="s">
        <v>25</v>
      </c>
      <c r="J35" s="4" t="s">
        <v>25</v>
      </c>
      <c r="K35" s="4" t="s">
        <v>25</v>
      </c>
      <c r="L35" s="3"/>
      <c r="M35" s="3" t="s">
        <v>223</v>
      </c>
      <c r="N35" s="3"/>
      <c r="O35" s="3"/>
    </row>
    <row r="36" customFormat="false" ht="79.85" hidden="false" customHeight="false" outlineLevel="0" collapsed="false">
      <c r="A36" s="3" t="s">
        <v>224</v>
      </c>
      <c r="B36" s="3" t="s">
        <v>225</v>
      </c>
      <c r="C36" s="3" t="s">
        <v>61</v>
      </c>
      <c r="D36" s="3" t="s">
        <v>226</v>
      </c>
      <c r="E36" s="3" t="s">
        <v>227</v>
      </c>
      <c r="F36" s="3" t="s">
        <v>228</v>
      </c>
      <c r="G36" s="3" t="s">
        <v>229</v>
      </c>
      <c r="H36" s="3" t="s">
        <v>230</v>
      </c>
      <c r="I36" s="4" t="s">
        <v>25</v>
      </c>
      <c r="J36" s="4" t="s">
        <v>25</v>
      </c>
      <c r="K36" s="4" t="s">
        <v>25</v>
      </c>
      <c r="L36" s="3"/>
      <c r="M36" s="3" t="s">
        <v>231</v>
      </c>
      <c r="N36" s="3"/>
      <c r="O36" s="3"/>
    </row>
    <row r="37" customFormat="false" ht="79.85" hidden="false" customHeight="false" outlineLevel="0" collapsed="false">
      <c r="A37" s="3" t="s">
        <v>232</v>
      </c>
      <c r="B37" s="3" t="s">
        <v>233</v>
      </c>
      <c r="C37" s="3" t="s">
        <v>77</v>
      </c>
      <c r="D37" s="3" t="s">
        <v>234</v>
      </c>
      <c r="E37" s="3" t="s">
        <v>235</v>
      </c>
      <c r="F37" s="3" t="s">
        <v>236</v>
      </c>
      <c r="G37" s="3" t="s">
        <v>237</v>
      </c>
      <c r="H37" s="3" t="s">
        <v>238</v>
      </c>
      <c r="I37" s="4" t="s">
        <v>25</v>
      </c>
      <c r="J37" s="4" t="s">
        <v>25</v>
      </c>
      <c r="K37" s="4" t="s">
        <v>25</v>
      </c>
      <c r="L37" s="3"/>
      <c r="M37" s="3" t="s">
        <v>239</v>
      </c>
      <c r="N37" s="3"/>
      <c r="O37" s="3"/>
    </row>
    <row r="38" customFormat="false" ht="102.2" hidden="false" customHeight="false" outlineLevel="0" collapsed="false">
      <c r="A38" s="5" t="s">
        <v>240</v>
      </c>
      <c r="B38" s="5" t="s">
        <v>241</v>
      </c>
      <c r="C38" s="5" t="s">
        <v>61</v>
      </c>
      <c r="D38" s="5" t="s">
        <v>242</v>
      </c>
      <c r="E38" s="5" t="s">
        <v>243</v>
      </c>
      <c r="F38" s="5" t="s">
        <v>244</v>
      </c>
      <c r="G38" s="5" t="s">
        <v>245</v>
      </c>
      <c r="H38" s="5" t="s">
        <v>246</v>
      </c>
      <c r="I38" s="6" t="s">
        <v>25</v>
      </c>
      <c r="J38" s="6" t="s">
        <v>25</v>
      </c>
      <c r="K38" s="6" t="s">
        <v>25</v>
      </c>
      <c r="L38" s="5"/>
      <c r="M38" s="5" t="s">
        <v>247</v>
      </c>
      <c r="N38" s="5"/>
      <c r="O38" s="5"/>
    </row>
    <row r="39" customFormat="false" ht="15" hidden="false" customHeight="false" outlineLevel="0" collapsed="false">
      <c r="A39" s="2" t="s">
        <v>248</v>
      </c>
      <c r="B39" s="2"/>
      <c r="C39" s="2"/>
      <c r="D39" s="2"/>
      <c r="E39" s="2"/>
      <c r="F39" s="2"/>
      <c r="G39" s="2"/>
      <c r="H39" s="2"/>
      <c r="I39" s="2"/>
      <c r="J39" s="2"/>
      <c r="K39" s="2"/>
      <c r="L39" s="2"/>
      <c r="M39" s="2"/>
      <c r="N39" s="2"/>
      <c r="O39" s="2"/>
    </row>
    <row r="40" customFormat="false" ht="68.65" hidden="false" customHeight="false" outlineLevel="0" collapsed="false">
      <c r="A40" s="3" t="s">
        <v>249</v>
      </c>
      <c r="B40" s="3" t="s">
        <v>250</v>
      </c>
      <c r="C40" s="3" t="s">
        <v>77</v>
      </c>
      <c r="D40" s="3" t="s">
        <v>251</v>
      </c>
      <c r="E40" s="3" t="s">
        <v>219</v>
      </c>
      <c r="F40" s="3" t="s">
        <v>252</v>
      </c>
      <c r="G40" s="3" t="s">
        <v>253</v>
      </c>
      <c r="H40" s="3" t="s">
        <v>254</v>
      </c>
      <c r="I40" s="4" t="s">
        <v>25</v>
      </c>
      <c r="J40" s="4" t="s">
        <v>25</v>
      </c>
      <c r="K40" s="4" t="s">
        <v>25</v>
      </c>
      <c r="L40" s="3"/>
      <c r="M40" s="3" t="s">
        <v>255</v>
      </c>
      <c r="N40" s="3"/>
      <c r="O40" s="3"/>
    </row>
    <row r="41" customFormat="false" ht="15" hidden="false" customHeight="false" outlineLevel="0" collapsed="false">
      <c r="A41" s="2" t="s">
        <v>256</v>
      </c>
      <c r="B41" s="2"/>
      <c r="C41" s="2"/>
      <c r="D41" s="2"/>
      <c r="E41" s="2"/>
      <c r="F41" s="2"/>
      <c r="G41" s="2"/>
      <c r="H41" s="2"/>
      <c r="I41" s="2"/>
      <c r="J41" s="2"/>
      <c r="K41" s="2"/>
      <c r="L41" s="2"/>
      <c r="M41" s="2"/>
      <c r="N41" s="2"/>
      <c r="O41" s="2"/>
    </row>
    <row r="42" customFormat="false" ht="113.4" hidden="false" customHeight="false" outlineLevel="0" collapsed="false">
      <c r="A42" s="3" t="s">
        <v>257</v>
      </c>
      <c r="B42" s="3" t="s">
        <v>258</v>
      </c>
      <c r="C42" s="3" t="s">
        <v>61</v>
      </c>
      <c r="D42" s="3" t="s">
        <v>259</v>
      </c>
      <c r="E42" s="3" t="s">
        <v>260</v>
      </c>
      <c r="F42" s="3" t="s">
        <v>261</v>
      </c>
      <c r="G42" s="3" t="s">
        <v>262</v>
      </c>
      <c r="H42" s="3" t="s">
        <v>263</v>
      </c>
      <c r="I42" s="4" t="s">
        <v>25</v>
      </c>
      <c r="J42" s="4" t="s">
        <v>25</v>
      </c>
      <c r="K42" s="4" t="s">
        <v>25</v>
      </c>
      <c r="L42" s="3"/>
      <c r="M42" s="3" t="s">
        <v>264</v>
      </c>
      <c r="N42" s="3"/>
      <c r="O42" s="3"/>
    </row>
    <row r="43" customFormat="false" ht="79.85" hidden="false" customHeight="false" outlineLevel="0" collapsed="false">
      <c r="A43" s="5" t="s">
        <v>265</v>
      </c>
      <c r="B43" s="5" t="s">
        <v>266</v>
      </c>
      <c r="C43" s="5" t="s">
        <v>37</v>
      </c>
      <c r="D43" s="5" t="s">
        <v>267</v>
      </c>
      <c r="E43" s="5" t="s">
        <v>268</v>
      </c>
      <c r="F43" s="5" t="s">
        <v>269</v>
      </c>
      <c r="G43" s="5" t="s">
        <v>270</v>
      </c>
      <c r="H43" s="5" t="s">
        <v>271</v>
      </c>
      <c r="I43" s="6" t="s">
        <v>25</v>
      </c>
      <c r="J43" s="6" t="s">
        <v>25</v>
      </c>
      <c r="K43" s="6" t="s">
        <v>25</v>
      </c>
      <c r="L43" s="5"/>
      <c r="M43" s="5" t="s">
        <v>272</v>
      </c>
      <c r="N43" s="5"/>
      <c r="O43" s="5"/>
    </row>
    <row r="44" customFormat="false" ht="91" hidden="false" customHeight="false" outlineLevel="0" collapsed="false">
      <c r="A44" s="5" t="s">
        <v>273</v>
      </c>
      <c r="B44" s="5" t="s">
        <v>274</v>
      </c>
      <c r="C44" s="5" t="s">
        <v>99</v>
      </c>
      <c r="D44" s="5" t="s">
        <v>275</v>
      </c>
      <c r="E44" s="5" t="s">
        <v>276</v>
      </c>
      <c r="F44" s="5" t="s">
        <v>277</v>
      </c>
      <c r="G44" s="5" t="s">
        <v>180</v>
      </c>
      <c r="H44" s="5" t="s">
        <v>278</v>
      </c>
      <c r="I44" s="6" t="s">
        <v>25</v>
      </c>
      <c r="J44" s="6" t="s">
        <v>25</v>
      </c>
      <c r="K44" s="6" t="s">
        <v>25</v>
      </c>
      <c r="L44" s="5"/>
      <c r="M44" s="5" t="s">
        <v>279</v>
      </c>
      <c r="N44" s="5"/>
      <c r="O44" s="5"/>
    </row>
    <row r="45" customFormat="false" ht="15" hidden="false" customHeight="false" outlineLevel="0" collapsed="false">
      <c r="A45" s="2" t="s">
        <v>280</v>
      </c>
      <c r="B45" s="2"/>
      <c r="C45" s="2"/>
      <c r="D45" s="2"/>
      <c r="E45" s="2"/>
      <c r="F45" s="2"/>
      <c r="G45" s="2"/>
      <c r="H45" s="2"/>
      <c r="I45" s="2"/>
      <c r="J45" s="2"/>
      <c r="K45" s="2"/>
      <c r="L45" s="2"/>
      <c r="M45" s="2"/>
      <c r="N45" s="2"/>
      <c r="O45" s="2"/>
    </row>
    <row r="46" customFormat="false" ht="79.85" hidden="false" customHeight="false" outlineLevel="0" collapsed="false">
      <c r="A46" s="3" t="s">
        <v>281</v>
      </c>
      <c r="B46" s="3" t="s">
        <v>282</v>
      </c>
      <c r="C46" s="3" t="s">
        <v>99</v>
      </c>
      <c r="D46" s="3" t="s">
        <v>283</v>
      </c>
      <c r="E46" s="3" t="s">
        <v>284</v>
      </c>
      <c r="F46" s="3" t="s">
        <v>285</v>
      </c>
      <c r="G46" s="3" t="s">
        <v>286</v>
      </c>
      <c r="H46" s="3" t="s">
        <v>287</v>
      </c>
      <c r="I46" s="4" t="s">
        <v>25</v>
      </c>
      <c r="J46" s="4" t="s">
        <v>25</v>
      </c>
      <c r="K46" s="4" t="s">
        <v>25</v>
      </c>
      <c r="L46" s="3"/>
      <c r="M46" s="3" t="s">
        <v>288</v>
      </c>
      <c r="N46" s="3"/>
      <c r="O46" s="3"/>
    </row>
    <row r="47" customFormat="false" ht="57.45" hidden="false" customHeight="false" outlineLevel="0" collapsed="false">
      <c r="A47" s="3" t="s">
        <v>289</v>
      </c>
      <c r="B47" s="3" t="s">
        <v>290</v>
      </c>
      <c r="C47" s="3" t="s">
        <v>99</v>
      </c>
      <c r="D47" s="3" t="s">
        <v>283</v>
      </c>
      <c r="E47" s="3" t="s">
        <v>291</v>
      </c>
      <c r="F47" s="3" t="s">
        <v>292</v>
      </c>
      <c r="G47" s="3" t="s">
        <v>293</v>
      </c>
      <c r="H47" s="3" t="s">
        <v>294</v>
      </c>
      <c r="I47" s="4" t="s">
        <v>25</v>
      </c>
      <c r="J47" s="4" t="s">
        <v>25</v>
      </c>
      <c r="K47" s="4" t="s">
        <v>25</v>
      </c>
      <c r="L47" s="3"/>
      <c r="M47" s="3" t="s">
        <v>295</v>
      </c>
      <c r="N47" s="3"/>
      <c r="O47" s="3"/>
    </row>
    <row r="48" customFormat="false" ht="68.65" hidden="false" customHeight="false" outlineLevel="0" collapsed="false">
      <c r="A48" s="3" t="s">
        <v>296</v>
      </c>
      <c r="B48" s="3" t="s">
        <v>297</v>
      </c>
      <c r="C48" s="3" t="s">
        <v>77</v>
      </c>
      <c r="D48" s="3" t="s">
        <v>283</v>
      </c>
      <c r="E48" s="3" t="s">
        <v>291</v>
      </c>
      <c r="F48" s="3" t="s">
        <v>298</v>
      </c>
      <c r="G48" s="3" t="s">
        <v>299</v>
      </c>
      <c r="H48" s="3" t="s">
        <v>300</v>
      </c>
      <c r="I48" s="4" t="s">
        <v>25</v>
      </c>
      <c r="J48" s="4" t="s">
        <v>25</v>
      </c>
      <c r="K48" s="4" t="s">
        <v>25</v>
      </c>
      <c r="L48" s="3"/>
      <c r="M48" s="3" t="s">
        <v>301</v>
      </c>
      <c r="N48" s="3"/>
      <c r="O48" s="3"/>
    </row>
    <row r="49" customFormat="false" ht="91" hidden="false" customHeight="false" outlineLevel="0" collapsed="false">
      <c r="A49" s="3" t="s">
        <v>302</v>
      </c>
      <c r="B49" s="3" t="s">
        <v>303</v>
      </c>
      <c r="C49" s="3" t="s">
        <v>61</v>
      </c>
      <c r="D49" s="3" t="s">
        <v>304</v>
      </c>
      <c r="E49" s="3" t="s">
        <v>305</v>
      </c>
      <c r="F49" s="3" t="s">
        <v>306</v>
      </c>
      <c r="G49" s="3" t="s">
        <v>307</v>
      </c>
      <c r="H49" s="3" t="s">
        <v>308</v>
      </c>
      <c r="I49" s="4" t="s">
        <v>25</v>
      </c>
      <c r="J49" s="4" t="s">
        <v>25</v>
      </c>
      <c r="K49" s="4" t="s">
        <v>25</v>
      </c>
      <c r="L49" s="3"/>
      <c r="M49" s="3" t="s">
        <v>309</v>
      </c>
      <c r="N49" s="3"/>
      <c r="O49" s="3"/>
    </row>
    <row r="50" customFormat="false" ht="68.65" hidden="false" customHeight="false" outlineLevel="0" collapsed="false">
      <c r="A50" s="3" t="s">
        <v>310</v>
      </c>
      <c r="B50" s="3" t="s">
        <v>311</v>
      </c>
      <c r="C50" s="3" t="s">
        <v>61</v>
      </c>
      <c r="D50" s="3" t="s">
        <v>304</v>
      </c>
      <c r="E50" s="3" t="s">
        <v>305</v>
      </c>
      <c r="F50" s="3" t="s">
        <v>312</v>
      </c>
      <c r="G50" s="3" t="s">
        <v>313</v>
      </c>
      <c r="H50" s="3" t="s">
        <v>314</v>
      </c>
      <c r="I50" s="4" t="s">
        <v>25</v>
      </c>
      <c r="J50" s="4" t="s">
        <v>25</v>
      </c>
      <c r="K50" s="4" t="s">
        <v>25</v>
      </c>
      <c r="L50" s="3"/>
      <c r="M50" s="3" t="s">
        <v>315</v>
      </c>
      <c r="N50" s="3"/>
      <c r="O50" s="3"/>
    </row>
    <row r="51" customFormat="false" ht="68.65" hidden="false" customHeight="false" outlineLevel="0" collapsed="false">
      <c r="A51" s="3" t="s">
        <v>316</v>
      </c>
      <c r="B51" s="3" t="s">
        <v>317</v>
      </c>
      <c r="C51" s="3" t="s">
        <v>99</v>
      </c>
      <c r="D51" s="3" t="s">
        <v>304</v>
      </c>
      <c r="E51" s="3" t="s">
        <v>305</v>
      </c>
      <c r="F51" s="3" t="s">
        <v>318</v>
      </c>
      <c r="G51" s="3" t="s">
        <v>319</v>
      </c>
      <c r="H51" s="3" t="s">
        <v>320</v>
      </c>
      <c r="I51" s="4" t="s">
        <v>25</v>
      </c>
      <c r="J51" s="4" t="s">
        <v>25</v>
      </c>
      <c r="K51" s="4" t="s">
        <v>25</v>
      </c>
      <c r="L51" s="3"/>
      <c r="M51" s="3" t="s">
        <v>321</v>
      </c>
      <c r="N51" s="3"/>
      <c r="O51" s="3"/>
    </row>
    <row r="52" customFormat="false" ht="57.45" hidden="false" customHeight="false" outlineLevel="0" collapsed="false">
      <c r="A52" s="3" t="s">
        <v>322</v>
      </c>
      <c r="B52" s="3" t="s">
        <v>323</v>
      </c>
      <c r="C52" s="3" t="s">
        <v>99</v>
      </c>
      <c r="D52" s="3" t="s">
        <v>304</v>
      </c>
      <c r="E52" s="3" t="s">
        <v>305</v>
      </c>
      <c r="F52" s="3" t="s">
        <v>324</v>
      </c>
      <c r="G52" s="3" t="s">
        <v>325</v>
      </c>
      <c r="H52" s="3" t="s">
        <v>326</v>
      </c>
      <c r="I52" s="4" t="s">
        <v>25</v>
      </c>
      <c r="J52" s="4" t="s">
        <v>25</v>
      </c>
      <c r="K52" s="4" t="s">
        <v>25</v>
      </c>
      <c r="L52" s="3"/>
      <c r="M52" s="3" t="s">
        <v>327</v>
      </c>
      <c r="N52" s="3"/>
      <c r="O52" s="3"/>
    </row>
    <row r="53" customFormat="false" ht="79.85" hidden="false" customHeight="false" outlineLevel="0" collapsed="false">
      <c r="A53" s="3" t="s">
        <v>328</v>
      </c>
      <c r="B53" s="3" t="s">
        <v>329</v>
      </c>
      <c r="C53" s="3" t="s">
        <v>61</v>
      </c>
      <c r="D53" s="3" t="s">
        <v>330</v>
      </c>
      <c r="E53" s="3" t="s">
        <v>305</v>
      </c>
      <c r="F53" s="3" t="s">
        <v>331</v>
      </c>
      <c r="G53" s="3" t="s">
        <v>332</v>
      </c>
      <c r="H53" s="3" t="s">
        <v>333</v>
      </c>
      <c r="I53" s="4" t="s">
        <v>25</v>
      </c>
      <c r="J53" s="4" t="s">
        <v>25</v>
      </c>
      <c r="K53" s="4" t="s">
        <v>25</v>
      </c>
      <c r="L53" s="3"/>
      <c r="M53" s="3" t="s">
        <v>334</v>
      </c>
      <c r="N53" s="3"/>
      <c r="O53" s="3"/>
    </row>
    <row r="54" customFormat="false" ht="15" hidden="false" customHeight="false" outlineLevel="0" collapsed="false">
      <c r="A54" s="2" t="s">
        <v>335</v>
      </c>
      <c r="B54" s="2"/>
      <c r="C54" s="2"/>
      <c r="D54" s="2"/>
      <c r="E54" s="2"/>
      <c r="F54" s="2"/>
      <c r="G54" s="2"/>
      <c r="H54" s="2"/>
      <c r="I54" s="2"/>
      <c r="J54" s="2"/>
      <c r="K54" s="2"/>
      <c r="L54" s="2"/>
      <c r="M54" s="2"/>
      <c r="N54" s="2"/>
      <c r="O54" s="2"/>
    </row>
    <row r="55" customFormat="false" ht="68.65" hidden="false" customHeight="false" outlineLevel="0" collapsed="false">
      <c r="A55" s="3" t="s">
        <v>336</v>
      </c>
      <c r="B55" s="3" t="s">
        <v>337</v>
      </c>
      <c r="C55" s="3" t="s">
        <v>19</v>
      </c>
      <c r="D55" s="3" t="s">
        <v>338</v>
      </c>
      <c r="E55" s="3" t="s">
        <v>339</v>
      </c>
      <c r="F55" s="3" t="s">
        <v>340</v>
      </c>
      <c r="G55" s="3" t="s">
        <v>189</v>
      </c>
      <c r="H55" s="3" t="s">
        <v>341</v>
      </c>
      <c r="I55" s="4" t="s">
        <v>25</v>
      </c>
      <c r="J55" s="4" t="s">
        <v>25</v>
      </c>
      <c r="K55" s="4" t="s">
        <v>25</v>
      </c>
      <c r="L55" s="3"/>
      <c r="M55" s="3" t="s">
        <v>342</v>
      </c>
      <c r="N55" s="3"/>
      <c r="O55" s="3"/>
    </row>
    <row r="56" customFormat="false" ht="79.85" hidden="false" customHeight="false" outlineLevel="0" collapsed="false">
      <c r="A56" s="3" t="s">
        <v>343</v>
      </c>
      <c r="B56" s="3" t="s">
        <v>344</v>
      </c>
      <c r="C56" s="3" t="s">
        <v>19</v>
      </c>
      <c r="D56" s="3" t="s">
        <v>338</v>
      </c>
      <c r="E56" s="3" t="s">
        <v>305</v>
      </c>
      <c r="F56" s="3" t="s">
        <v>345</v>
      </c>
      <c r="G56" s="3" t="s">
        <v>346</v>
      </c>
      <c r="H56" s="3" t="s">
        <v>347</v>
      </c>
      <c r="I56" s="4" t="s">
        <v>25</v>
      </c>
      <c r="J56" s="4" t="s">
        <v>25</v>
      </c>
      <c r="K56" s="4" t="s">
        <v>25</v>
      </c>
      <c r="L56" s="3"/>
      <c r="M56" s="3" t="s">
        <v>348</v>
      </c>
      <c r="N56" s="3"/>
      <c r="O56" s="3"/>
    </row>
    <row r="57" customFormat="false" ht="102.2" hidden="false" customHeight="false" outlineLevel="0" collapsed="false">
      <c r="A57" s="3" t="s">
        <v>349</v>
      </c>
      <c r="B57" s="3" t="s">
        <v>350</v>
      </c>
      <c r="C57" s="3" t="s">
        <v>77</v>
      </c>
      <c r="D57" s="3" t="s">
        <v>351</v>
      </c>
      <c r="E57" s="3" t="s">
        <v>352</v>
      </c>
      <c r="F57" s="3" t="s">
        <v>353</v>
      </c>
      <c r="G57" s="3" t="s">
        <v>118</v>
      </c>
      <c r="H57" s="3" t="s">
        <v>354</v>
      </c>
      <c r="I57" s="4" t="s">
        <v>25</v>
      </c>
      <c r="J57" s="4" t="s">
        <v>25</v>
      </c>
      <c r="K57" s="4" t="s">
        <v>25</v>
      </c>
      <c r="L57" s="3"/>
      <c r="M57" s="3" t="s">
        <v>355</v>
      </c>
      <c r="N57" s="3"/>
      <c r="O57" s="3"/>
    </row>
    <row r="58" customFormat="false" ht="79.85" hidden="false" customHeight="false" outlineLevel="0" collapsed="false">
      <c r="A58" s="3" t="s">
        <v>356</v>
      </c>
      <c r="B58" s="3" t="s">
        <v>357</v>
      </c>
      <c r="C58" s="3" t="s">
        <v>77</v>
      </c>
      <c r="D58" s="3" t="s">
        <v>358</v>
      </c>
      <c r="E58" s="3" t="s">
        <v>359</v>
      </c>
      <c r="F58" s="3" t="s">
        <v>360</v>
      </c>
      <c r="G58" s="3" t="s">
        <v>361</v>
      </c>
      <c r="H58" s="3" t="s">
        <v>362</v>
      </c>
      <c r="I58" s="4" t="s">
        <v>25</v>
      </c>
      <c r="J58" s="4" t="s">
        <v>25</v>
      </c>
      <c r="K58" s="4" t="s">
        <v>25</v>
      </c>
      <c r="L58" s="3"/>
      <c r="M58" s="3" t="s">
        <v>363</v>
      </c>
      <c r="N58" s="3"/>
      <c r="O58" s="3"/>
    </row>
    <row r="59" customFormat="false" ht="91" hidden="false" customHeight="false" outlineLevel="0" collapsed="false">
      <c r="A59" s="3" t="s">
        <v>364</v>
      </c>
      <c r="B59" s="3" t="s">
        <v>365</v>
      </c>
      <c r="C59" s="3" t="s">
        <v>77</v>
      </c>
      <c r="D59" s="3" t="s">
        <v>366</v>
      </c>
      <c r="E59" s="3" t="s">
        <v>367</v>
      </c>
      <c r="F59" s="3" t="s">
        <v>368</v>
      </c>
      <c r="G59" s="3" t="s">
        <v>369</v>
      </c>
      <c r="H59" s="3" t="s">
        <v>370</v>
      </c>
      <c r="I59" s="4" t="s">
        <v>25</v>
      </c>
      <c r="J59" s="4" t="s">
        <v>25</v>
      </c>
      <c r="K59" s="4" t="s">
        <v>25</v>
      </c>
      <c r="L59" s="3"/>
      <c r="M59" s="3" t="s">
        <v>371</v>
      </c>
      <c r="N59" s="3"/>
      <c r="O59" s="3"/>
    </row>
    <row r="60" customFormat="false" ht="135.8" hidden="false" customHeight="false" outlineLevel="0" collapsed="false">
      <c r="A60" s="5" t="s">
        <v>372</v>
      </c>
      <c r="B60" s="5" t="s">
        <v>373</v>
      </c>
      <c r="C60" s="5" t="s">
        <v>99</v>
      </c>
      <c r="D60" s="5" t="s">
        <v>374</v>
      </c>
      <c r="E60" s="5" t="s">
        <v>375</v>
      </c>
      <c r="F60" s="5" t="s">
        <v>376</v>
      </c>
      <c r="G60" s="5" t="s">
        <v>377</v>
      </c>
      <c r="H60" s="5" t="s">
        <v>378</v>
      </c>
      <c r="I60" s="6" t="s">
        <v>25</v>
      </c>
      <c r="J60" s="6" t="s">
        <v>25</v>
      </c>
      <c r="K60" s="6" t="s">
        <v>25</v>
      </c>
      <c r="L60" s="5"/>
      <c r="M60" s="5" t="s">
        <v>379</v>
      </c>
      <c r="N60" s="5"/>
      <c r="O60" s="5"/>
    </row>
    <row r="61" customFormat="false" ht="15" hidden="false" customHeight="false" outlineLevel="0" collapsed="false">
      <c r="A61" s="2" t="s">
        <v>380</v>
      </c>
      <c r="B61" s="2"/>
      <c r="C61" s="2"/>
      <c r="D61" s="2"/>
      <c r="E61" s="2"/>
      <c r="F61" s="2"/>
      <c r="G61" s="2"/>
      <c r="H61" s="2"/>
      <c r="I61" s="2"/>
      <c r="J61" s="2"/>
      <c r="K61" s="2"/>
      <c r="L61" s="2"/>
      <c r="M61" s="2"/>
      <c r="N61" s="2"/>
      <c r="O61" s="2"/>
    </row>
    <row r="62" customFormat="false" ht="102.2" hidden="false" customHeight="false" outlineLevel="0" collapsed="false">
      <c r="A62" s="3" t="s">
        <v>381</v>
      </c>
      <c r="B62" s="3" t="s">
        <v>382</v>
      </c>
      <c r="C62" s="3" t="s">
        <v>77</v>
      </c>
      <c r="D62" s="3" t="s">
        <v>383</v>
      </c>
      <c r="E62" s="3" t="s">
        <v>384</v>
      </c>
      <c r="F62" s="3" t="s">
        <v>385</v>
      </c>
      <c r="G62" s="3" t="s">
        <v>262</v>
      </c>
      <c r="H62" s="3" t="s">
        <v>386</v>
      </c>
      <c r="I62" s="4" t="s">
        <v>25</v>
      </c>
      <c r="J62" s="4" t="s">
        <v>25</v>
      </c>
      <c r="K62" s="4" t="s">
        <v>25</v>
      </c>
      <c r="L62" s="3"/>
      <c r="M62" s="3" t="s">
        <v>387</v>
      </c>
      <c r="N62" s="3"/>
      <c r="O62" s="3"/>
    </row>
    <row r="63" customFormat="false" ht="68.65" hidden="false" customHeight="false" outlineLevel="0" collapsed="false">
      <c r="A63" s="3" t="s">
        <v>388</v>
      </c>
      <c r="B63" s="3" t="s">
        <v>389</v>
      </c>
      <c r="C63" s="3" t="s">
        <v>99</v>
      </c>
      <c r="D63" s="3" t="s">
        <v>390</v>
      </c>
      <c r="E63" s="3" t="s">
        <v>391</v>
      </c>
      <c r="F63" s="3" t="s">
        <v>392</v>
      </c>
      <c r="G63" s="3" t="s">
        <v>180</v>
      </c>
      <c r="H63" s="3" t="s">
        <v>393</v>
      </c>
      <c r="I63" s="4" t="s">
        <v>25</v>
      </c>
      <c r="J63" s="4" t="s">
        <v>25</v>
      </c>
      <c r="K63" s="4" t="s">
        <v>25</v>
      </c>
      <c r="L63" s="3"/>
      <c r="M63" s="3" t="s">
        <v>394</v>
      </c>
      <c r="N63" s="3"/>
      <c r="O63" s="3"/>
    </row>
    <row r="64" customFormat="false" ht="15" hidden="false" customHeight="false" outlineLevel="0" collapsed="false">
      <c r="A64" s="2" t="s">
        <v>395</v>
      </c>
      <c r="B64" s="2"/>
      <c r="C64" s="2"/>
      <c r="D64" s="2"/>
      <c r="E64" s="2"/>
      <c r="F64" s="2"/>
      <c r="G64" s="2"/>
      <c r="H64" s="2"/>
      <c r="I64" s="2"/>
      <c r="J64" s="2"/>
      <c r="K64" s="2"/>
      <c r="L64" s="2"/>
      <c r="M64" s="2"/>
      <c r="N64" s="2"/>
      <c r="O64" s="2"/>
    </row>
    <row r="65" customFormat="false" ht="113.4" hidden="false" customHeight="false" outlineLevel="0" collapsed="false">
      <c r="A65" s="3" t="s">
        <v>396</v>
      </c>
      <c r="B65" s="3" t="s">
        <v>397</v>
      </c>
      <c r="C65" s="3" t="s">
        <v>77</v>
      </c>
      <c r="D65" s="3" t="s">
        <v>275</v>
      </c>
      <c r="E65" s="3" t="s">
        <v>398</v>
      </c>
      <c r="F65" s="3" t="s">
        <v>399</v>
      </c>
      <c r="G65" s="3" t="s">
        <v>262</v>
      </c>
      <c r="H65" s="3" t="s">
        <v>400</v>
      </c>
      <c r="I65" s="4" t="s">
        <v>25</v>
      </c>
      <c r="J65" s="4" t="s">
        <v>25</v>
      </c>
      <c r="K65" s="4" t="s">
        <v>25</v>
      </c>
      <c r="L65" s="3"/>
      <c r="M65" s="3" t="s">
        <v>401</v>
      </c>
      <c r="N65" s="3"/>
      <c r="O65" s="3"/>
    </row>
    <row r="66" customFormat="false" ht="57.45" hidden="false" customHeight="false" outlineLevel="0" collapsed="false">
      <c r="A66" s="3" t="s">
        <v>402</v>
      </c>
      <c r="B66" s="3" t="s">
        <v>403</v>
      </c>
      <c r="C66" s="3" t="s">
        <v>77</v>
      </c>
      <c r="D66" s="3" t="s">
        <v>404</v>
      </c>
      <c r="E66" s="3" t="s">
        <v>405</v>
      </c>
      <c r="F66" s="3" t="s">
        <v>406</v>
      </c>
      <c r="G66" s="3" t="s">
        <v>369</v>
      </c>
      <c r="H66" s="3" t="s">
        <v>407</v>
      </c>
      <c r="I66" s="4" t="s">
        <v>25</v>
      </c>
      <c r="J66" s="4" t="s">
        <v>25</v>
      </c>
      <c r="K66" s="4" t="s">
        <v>25</v>
      </c>
      <c r="L66" s="3"/>
      <c r="M66" s="3" t="s">
        <v>408</v>
      </c>
      <c r="N66" s="3"/>
      <c r="O66" s="3"/>
    </row>
    <row r="67" customFormat="false" ht="68.65" hidden="false" customHeight="false" outlineLevel="0" collapsed="false">
      <c r="A67" s="3" t="s">
        <v>409</v>
      </c>
      <c r="B67" s="3" t="s">
        <v>410</v>
      </c>
      <c r="C67" s="3" t="s">
        <v>77</v>
      </c>
      <c r="D67" s="3" t="s">
        <v>411</v>
      </c>
      <c r="E67" s="3" t="s">
        <v>412</v>
      </c>
      <c r="F67" s="3" t="s">
        <v>413</v>
      </c>
      <c r="G67" s="3" t="s">
        <v>414</v>
      </c>
      <c r="H67" s="3" t="s">
        <v>415</v>
      </c>
      <c r="I67" s="4" t="s">
        <v>25</v>
      </c>
      <c r="J67" s="4" t="s">
        <v>25</v>
      </c>
      <c r="K67" s="4" t="s">
        <v>25</v>
      </c>
      <c r="L67" s="3"/>
      <c r="M67" s="3" t="s">
        <v>416</v>
      </c>
      <c r="N67" s="3"/>
      <c r="O67" s="3"/>
    </row>
    <row r="68" customFormat="false" ht="79.85" hidden="false" customHeight="false" outlineLevel="0" collapsed="false">
      <c r="A68" s="5" t="s">
        <v>417</v>
      </c>
      <c r="B68" s="5" t="s">
        <v>418</v>
      </c>
      <c r="C68" s="5" t="s">
        <v>99</v>
      </c>
      <c r="D68" s="5" t="s">
        <v>275</v>
      </c>
      <c r="E68" s="5" t="s">
        <v>419</v>
      </c>
      <c r="F68" s="5" t="s">
        <v>420</v>
      </c>
      <c r="G68" s="5" t="s">
        <v>180</v>
      </c>
      <c r="H68" s="5" t="s">
        <v>421</v>
      </c>
      <c r="I68" s="6" t="s">
        <v>25</v>
      </c>
      <c r="J68" s="6" t="s">
        <v>25</v>
      </c>
      <c r="K68" s="6" t="s">
        <v>25</v>
      </c>
      <c r="L68" s="5"/>
      <c r="M68" s="5" t="s">
        <v>422</v>
      </c>
      <c r="N68" s="5"/>
      <c r="O68" s="5"/>
    </row>
    <row r="69" customFormat="false" ht="15" hidden="false" customHeight="false" outlineLevel="0" collapsed="false">
      <c r="A69" s="2" t="s">
        <v>423</v>
      </c>
      <c r="B69" s="2"/>
      <c r="C69" s="2"/>
      <c r="D69" s="2"/>
      <c r="E69" s="2"/>
      <c r="F69" s="2"/>
      <c r="G69" s="2"/>
      <c r="H69" s="2"/>
      <c r="I69" s="2"/>
      <c r="J69" s="2"/>
      <c r="K69" s="2"/>
      <c r="L69" s="2"/>
      <c r="M69" s="2"/>
      <c r="N69" s="2"/>
      <c r="O69" s="2"/>
    </row>
    <row r="70" customFormat="false" ht="113.4" hidden="false" customHeight="false" outlineLevel="0" collapsed="false">
      <c r="A70" s="3" t="s">
        <v>424</v>
      </c>
      <c r="B70" s="3" t="s">
        <v>425</v>
      </c>
      <c r="C70" s="3" t="s">
        <v>77</v>
      </c>
      <c r="D70" s="3" t="s">
        <v>426</v>
      </c>
      <c r="E70" s="3" t="s">
        <v>427</v>
      </c>
      <c r="F70" s="3" t="s">
        <v>428</v>
      </c>
      <c r="G70" s="3" t="s">
        <v>429</v>
      </c>
      <c r="H70" s="3" t="s">
        <v>430</v>
      </c>
      <c r="I70" s="4" t="s">
        <v>25</v>
      </c>
      <c r="J70" s="4" t="s">
        <v>25</v>
      </c>
      <c r="K70" s="4" t="s">
        <v>25</v>
      </c>
      <c r="L70" s="3"/>
      <c r="M70" s="3" t="s">
        <v>431</v>
      </c>
      <c r="N70" s="3"/>
      <c r="O70" s="3"/>
    </row>
    <row r="71" customFormat="false" ht="91" hidden="false" customHeight="false" outlineLevel="0" collapsed="false">
      <c r="A71" s="3" t="s">
        <v>432</v>
      </c>
      <c r="B71" s="3" t="s">
        <v>433</v>
      </c>
      <c r="C71" s="3" t="s">
        <v>77</v>
      </c>
      <c r="D71" s="3" t="s">
        <v>434</v>
      </c>
      <c r="E71" s="3" t="s">
        <v>435</v>
      </c>
      <c r="F71" s="3" t="s">
        <v>436</v>
      </c>
      <c r="G71" s="3" t="s">
        <v>23</v>
      </c>
      <c r="H71" s="3" t="s">
        <v>437</v>
      </c>
      <c r="I71" s="4" t="s">
        <v>25</v>
      </c>
      <c r="J71" s="4" t="s">
        <v>25</v>
      </c>
      <c r="K71" s="4" t="s">
        <v>25</v>
      </c>
      <c r="L71" s="3"/>
      <c r="M71" s="3" t="s">
        <v>438</v>
      </c>
      <c r="N71" s="3"/>
      <c r="O71" s="3"/>
    </row>
    <row r="72" customFormat="false" ht="79.85" hidden="false" customHeight="false" outlineLevel="0" collapsed="false">
      <c r="A72" s="3" t="s">
        <v>439</v>
      </c>
      <c r="B72" s="3" t="s">
        <v>440</v>
      </c>
      <c r="C72" s="3" t="s">
        <v>77</v>
      </c>
      <c r="D72" s="3" t="s">
        <v>441</v>
      </c>
      <c r="E72" s="3" t="s">
        <v>442</v>
      </c>
      <c r="F72" s="3" t="s">
        <v>443</v>
      </c>
      <c r="G72" s="3" t="s">
        <v>189</v>
      </c>
      <c r="H72" s="3" t="s">
        <v>444</v>
      </c>
      <c r="I72" s="4" t="s">
        <v>25</v>
      </c>
      <c r="J72" s="4" t="s">
        <v>25</v>
      </c>
      <c r="K72" s="4" t="s">
        <v>25</v>
      </c>
      <c r="L72" s="3"/>
      <c r="M72" s="3" t="s">
        <v>445</v>
      </c>
      <c r="N72" s="3"/>
      <c r="O72" s="3"/>
    </row>
    <row r="73" customFormat="false" ht="15" hidden="false" customHeight="false" outlineLevel="0" collapsed="false">
      <c r="A73" s="2" t="s">
        <v>446</v>
      </c>
      <c r="B73" s="2"/>
      <c r="C73" s="2"/>
      <c r="D73" s="2"/>
      <c r="E73" s="2"/>
      <c r="F73" s="2"/>
      <c r="G73" s="2"/>
      <c r="H73" s="2"/>
      <c r="I73" s="2"/>
      <c r="J73" s="2"/>
      <c r="K73" s="2"/>
      <c r="L73" s="2"/>
      <c r="M73" s="2"/>
      <c r="N73" s="2"/>
      <c r="O73" s="2"/>
    </row>
    <row r="74" customFormat="false" ht="79.85" hidden="false" customHeight="false" outlineLevel="0" collapsed="false">
      <c r="A74" s="3" t="s">
        <v>447</v>
      </c>
      <c r="B74" s="3" t="s">
        <v>448</v>
      </c>
      <c r="C74" s="3" t="s">
        <v>61</v>
      </c>
      <c r="D74" s="3" t="s">
        <v>449</v>
      </c>
      <c r="E74" s="3" t="s">
        <v>450</v>
      </c>
      <c r="F74" s="3" t="s">
        <v>451</v>
      </c>
      <c r="G74" s="3" t="s">
        <v>245</v>
      </c>
      <c r="H74" s="3" t="s">
        <v>452</v>
      </c>
      <c r="I74" s="4" t="s">
        <v>25</v>
      </c>
      <c r="J74" s="4" t="s">
        <v>25</v>
      </c>
      <c r="K74" s="4" t="s">
        <v>25</v>
      </c>
      <c r="L74" s="3"/>
      <c r="M74" s="3" t="s">
        <v>453</v>
      </c>
      <c r="N74" s="3"/>
      <c r="O74" s="3"/>
    </row>
    <row r="75" customFormat="false" ht="57.45" hidden="false" customHeight="false" outlineLevel="0" collapsed="false">
      <c r="A75" s="3" t="s">
        <v>454</v>
      </c>
      <c r="B75" s="3" t="s">
        <v>455</v>
      </c>
      <c r="C75" s="3" t="s">
        <v>61</v>
      </c>
      <c r="D75" s="3" t="s">
        <v>449</v>
      </c>
      <c r="E75" s="3" t="s">
        <v>456</v>
      </c>
      <c r="F75" s="3" t="s">
        <v>457</v>
      </c>
      <c r="G75" s="3" t="s">
        <v>458</v>
      </c>
      <c r="H75" s="3" t="s">
        <v>459</v>
      </c>
      <c r="I75" s="4" t="s">
        <v>25</v>
      </c>
      <c r="J75" s="4" t="s">
        <v>25</v>
      </c>
      <c r="K75" s="4" t="s">
        <v>25</v>
      </c>
      <c r="L75" s="3"/>
      <c r="M75" s="3" t="s">
        <v>460</v>
      </c>
      <c r="N75" s="3"/>
      <c r="O75" s="3"/>
    </row>
    <row r="76" customFormat="false" ht="68.65" hidden="false" customHeight="false" outlineLevel="0" collapsed="false">
      <c r="A76" s="3" t="s">
        <v>461</v>
      </c>
      <c r="B76" s="3" t="s">
        <v>462</v>
      </c>
      <c r="C76" s="3" t="s">
        <v>61</v>
      </c>
      <c r="D76" s="3" t="s">
        <v>463</v>
      </c>
      <c r="E76" s="3" t="s">
        <v>464</v>
      </c>
      <c r="F76" s="3" t="s">
        <v>465</v>
      </c>
      <c r="G76" s="3" t="s">
        <v>180</v>
      </c>
      <c r="H76" s="3" t="s">
        <v>466</v>
      </c>
      <c r="I76" s="4" t="s">
        <v>25</v>
      </c>
      <c r="J76" s="4" t="s">
        <v>25</v>
      </c>
      <c r="K76" s="4" t="s">
        <v>25</v>
      </c>
      <c r="L76" s="3"/>
      <c r="M76" s="3" t="s">
        <v>467</v>
      </c>
      <c r="N76" s="3"/>
      <c r="O76" s="3"/>
    </row>
    <row r="77" customFormat="false" ht="68.65" hidden="false" customHeight="false" outlineLevel="0" collapsed="false">
      <c r="A77" s="3" t="s">
        <v>468</v>
      </c>
      <c r="B77" s="3" t="s">
        <v>469</v>
      </c>
      <c r="C77" s="3" t="s">
        <v>61</v>
      </c>
      <c r="D77" s="3" t="s">
        <v>463</v>
      </c>
      <c r="E77" s="3" t="s">
        <v>470</v>
      </c>
      <c r="F77" s="3" t="s">
        <v>471</v>
      </c>
      <c r="G77" s="3" t="s">
        <v>180</v>
      </c>
      <c r="H77" s="3" t="s">
        <v>472</v>
      </c>
      <c r="I77" s="4" t="s">
        <v>25</v>
      </c>
      <c r="J77" s="4" t="s">
        <v>25</v>
      </c>
      <c r="K77" s="4" t="s">
        <v>25</v>
      </c>
      <c r="L77" s="3"/>
      <c r="M77" s="3" t="s">
        <v>473</v>
      </c>
      <c r="N77" s="3"/>
      <c r="O77" s="3"/>
    </row>
    <row r="78" customFormat="false" ht="79.85" hidden="false" customHeight="false" outlineLevel="0" collapsed="false">
      <c r="A78" s="5" t="s">
        <v>474</v>
      </c>
      <c r="B78" s="5" t="s">
        <v>475</v>
      </c>
      <c r="C78" s="5" t="s">
        <v>99</v>
      </c>
      <c r="D78" s="5" t="s">
        <v>449</v>
      </c>
      <c r="E78" s="5" t="s">
        <v>476</v>
      </c>
      <c r="F78" s="5" t="s">
        <v>477</v>
      </c>
      <c r="G78" s="5" t="s">
        <v>180</v>
      </c>
      <c r="H78" s="5" t="s">
        <v>478</v>
      </c>
      <c r="I78" s="6" t="s">
        <v>25</v>
      </c>
      <c r="J78" s="6" t="s">
        <v>25</v>
      </c>
      <c r="K78" s="6" t="s">
        <v>25</v>
      </c>
      <c r="L78" s="5"/>
      <c r="M78" s="5" t="s">
        <v>479</v>
      </c>
      <c r="N78" s="5"/>
      <c r="O78" s="5"/>
    </row>
    <row r="79" customFormat="false" ht="68.65" hidden="false" customHeight="false" outlineLevel="0" collapsed="false">
      <c r="A79" s="5" t="s">
        <v>480</v>
      </c>
      <c r="B79" s="5" t="s">
        <v>481</v>
      </c>
      <c r="C79" s="5" t="s">
        <v>99</v>
      </c>
      <c r="D79" s="5" t="s">
        <v>449</v>
      </c>
      <c r="E79" s="5" t="s">
        <v>482</v>
      </c>
      <c r="F79" s="5" t="s">
        <v>483</v>
      </c>
      <c r="G79" s="5" t="s">
        <v>180</v>
      </c>
      <c r="H79" s="5" t="s">
        <v>484</v>
      </c>
      <c r="I79" s="6" t="s">
        <v>25</v>
      </c>
      <c r="J79" s="6" t="s">
        <v>25</v>
      </c>
      <c r="K79" s="6" t="s">
        <v>25</v>
      </c>
      <c r="L79" s="5"/>
      <c r="M79" s="5" t="s">
        <v>485</v>
      </c>
      <c r="N79" s="5"/>
      <c r="O79" s="5"/>
    </row>
    <row r="80" customFormat="false" ht="91" hidden="false" customHeight="false" outlineLevel="0" collapsed="false">
      <c r="A80" s="5" t="s">
        <v>486</v>
      </c>
      <c r="B80" s="5" t="s">
        <v>487</v>
      </c>
      <c r="C80" s="5" t="s">
        <v>99</v>
      </c>
      <c r="D80" s="5" t="s">
        <v>488</v>
      </c>
      <c r="E80" s="5" t="s">
        <v>489</v>
      </c>
      <c r="F80" s="5" t="s">
        <v>490</v>
      </c>
      <c r="G80" s="5" t="s">
        <v>180</v>
      </c>
      <c r="H80" s="5" t="s">
        <v>491</v>
      </c>
      <c r="I80" s="6" t="s">
        <v>25</v>
      </c>
      <c r="J80" s="6" t="s">
        <v>25</v>
      </c>
      <c r="K80" s="6" t="s">
        <v>25</v>
      </c>
      <c r="L80" s="5"/>
      <c r="M80" s="5" t="s">
        <v>492</v>
      </c>
      <c r="N80" s="5"/>
      <c r="O80" s="5"/>
    </row>
    <row r="81" customFormat="false" ht="15" hidden="false" customHeight="false" outlineLevel="0" collapsed="false">
      <c r="A81" s="2" t="s">
        <v>493</v>
      </c>
      <c r="B81" s="2"/>
      <c r="C81" s="2"/>
      <c r="D81" s="2"/>
      <c r="E81" s="2"/>
      <c r="F81" s="2"/>
      <c r="G81" s="2"/>
      <c r="H81" s="2"/>
      <c r="I81" s="2"/>
      <c r="J81" s="2"/>
      <c r="K81" s="2"/>
      <c r="L81" s="2"/>
      <c r="M81" s="2"/>
      <c r="N81" s="2"/>
      <c r="O81" s="2"/>
    </row>
    <row r="82" customFormat="false" ht="57.45" hidden="false" customHeight="false" outlineLevel="0" collapsed="false">
      <c r="A82" s="3" t="s">
        <v>494</v>
      </c>
      <c r="B82" s="3" t="s">
        <v>495</v>
      </c>
      <c r="C82" s="3" t="s">
        <v>77</v>
      </c>
      <c r="D82" s="3" t="s">
        <v>496</v>
      </c>
      <c r="E82" s="3" t="s">
        <v>497</v>
      </c>
      <c r="F82" s="3" t="s">
        <v>498</v>
      </c>
      <c r="G82" s="3" t="s">
        <v>499</v>
      </c>
      <c r="H82" s="3" t="s">
        <v>500</v>
      </c>
      <c r="I82" s="4" t="s">
        <v>25</v>
      </c>
      <c r="J82" s="4" t="s">
        <v>25</v>
      </c>
      <c r="K82" s="4" t="s">
        <v>25</v>
      </c>
      <c r="L82" s="3"/>
      <c r="M82" s="3" t="s">
        <v>501</v>
      </c>
      <c r="N82" s="3"/>
      <c r="O82" s="3"/>
    </row>
    <row r="83" customFormat="false" ht="15" hidden="false" customHeight="false" outlineLevel="0" collapsed="false">
      <c r="A83" s="2" t="s">
        <v>502</v>
      </c>
      <c r="B83" s="2"/>
      <c r="C83" s="2"/>
      <c r="D83" s="2"/>
      <c r="E83" s="2"/>
      <c r="F83" s="2"/>
      <c r="G83" s="2"/>
      <c r="H83" s="2"/>
      <c r="I83" s="2"/>
      <c r="J83" s="2"/>
      <c r="K83" s="2"/>
      <c r="L83" s="2"/>
      <c r="M83" s="2"/>
      <c r="N83" s="2"/>
      <c r="O83" s="2"/>
    </row>
    <row r="84" customFormat="false" ht="79.85" hidden="false" customHeight="false" outlineLevel="0" collapsed="false">
      <c r="A84" s="3" t="s">
        <v>503</v>
      </c>
      <c r="B84" s="3" t="s">
        <v>504</v>
      </c>
      <c r="C84" s="3" t="s">
        <v>99</v>
      </c>
      <c r="D84" s="3" t="s">
        <v>505</v>
      </c>
      <c r="E84" s="3" t="s">
        <v>506</v>
      </c>
      <c r="F84" s="3" t="s">
        <v>507</v>
      </c>
      <c r="G84" s="3" t="s">
        <v>245</v>
      </c>
      <c r="H84" s="3" t="s">
        <v>508</v>
      </c>
      <c r="I84" s="4" t="s">
        <v>25</v>
      </c>
      <c r="J84" s="4" t="s">
        <v>25</v>
      </c>
      <c r="K84" s="4" t="s">
        <v>25</v>
      </c>
      <c r="L84" s="3"/>
      <c r="M84" s="3" t="s">
        <v>509</v>
      </c>
      <c r="N84" s="3"/>
      <c r="O84" s="3"/>
    </row>
    <row r="85" customFormat="false" ht="68.65" hidden="false" customHeight="false" outlineLevel="0" collapsed="false">
      <c r="A85" s="3" t="s">
        <v>510</v>
      </c>
      <c r="B85" s="3" t="s">
        <v>511</v>
      </c>
      <c r="C85" s="3" t="s">
        <v>99</v>
      </c>
      <c r="D85" s="3" t="s">
        <v>512</v>
      </c>
      <c r="E85" s="3" t="s">
        <v>513</v>
      </c>
      <c r="F85" s="3" t="s">
        <v>514</v>
      </c>
      <c r="G85" s="3" t="s">
        <v>346</v>
      </c>
      <c r="H85" s="3" t="s">
        <v>515</v>
      </c>
      <c r="I85" s="4" t="s">
        <v>25</v>
      </c>
      <c r="J85" s="4" t="s">
        <v>25</v>
      </c>
      <c r="K85" s="4" t="s">
        <v>25</v>
      </c>
      <c r="L85" s="3"/>
      <c r="M85" s="3" t="s">
        <v>516</v>
      </c>
      <c r="N85" s="3"/>
      <c r="O85" s="3"/>
    </row>
    <row r="86" customFormat="false" ht="68.65" hidden="false" customHeight="false" outlineLevel="0" collapsed="false">
      <c r="A86" s="3" t="s">
        <v>517</v>
      </c>
      <c r="B86" s="3" t="s">
        <v>518</v>
      </c>
      <c r="C86" s="3" t="s">
        <v>99</v>
      </c>
      <c r="D86" s="3" t="s">
        <v>519</v>
      </c>
      <c r="E86" s="3" t="s">
        <v>305</v>
      </c>
      <c r="F86" s="3" t="s">
        <v>520</v>
      </c>
      <c r="G86" s="3" t="s">
        <v>521</v>
      </c>
      <c r="H86" s="3" t="s">
        <v>522</v>
      </c>
      <c r="I86" s="4" t="s">
        <v>25</v>
      </c>
      <c r="J86" s="4" t="s">
        <v>25</v>
      </c>
      <c r="K86" s="4" t="s">
        <v>25</v>
      </c>
      <c r="L86" s="3"/>
      <c r="M86" s="3" t="s">
        <v>523</v>
      </c>
      <c r="N86" s="3"/>
      <c r="O86" s="3"/>
    </row>
    <row r="87" customFormat="false" ht="57.45" hidden="false" customHeight="false" outlineLevel="0" collapsed="false">
      <c r="A87" s="3" t="s">
        <v>524</v>
      </c>
      <c r="B87" s="3" t="s">
        <v>525</v>
      </c>
      <c r="C87" s="3" t="s">
        <v>99</v>
      </c>
      <c r="D87" s="3" t="s">
        <v>519</v>
      </c>
      <c r="E87" s="3" t="s">
        <v>305</v>
      </c>
      <c r="F87" s="3" t="s">
        <v>526</v>
      </c>
      <c r="G87" s="3" t="s">
        <v>527</v>
      </c>
      <c r="H87" s="3" t="s">
        <v>528</v>
      </c>
      <c r="I87" s="4" t="s">
        <v>25</v>
      </c>
      <c r="J87" s="4" t="s">
        <v>25</v>
      </c>
      <c r="K87" s="4" t="s">
        <v>25</v>
      </c>
      <c r="L87" s="3"/>
      <c r="M87" s="3" t="s">
        <v>529</v>
      </c>
      <c r="N87" s="3"/>
      <c r="O87" s="3"/>
    </row>
    <row r="88" customFormat="false" ht="57.45" hidden="false" customHeight="false" outlineLevel="0" collapsed="false">
      <c r="A88" s="3" t="s">
        <v>530</v>
      </c>
      <c r="B88" s="3" t="s">
        <v>531</v>
      </c>
      <c r="C88" s="3" t="s">
        <v>99</v>
      </c>
      <c r="D88" s="3" t="s">
        <v>532</v>
      </c>
      <c r="E88" s="3" t="s">
        <v>533</v>
      </c>
      <c r="F88" s="3" t="s">
        <v>534</v>
      </c>
      <c r="G88" s="3" t="s">
        <v>180</v>
      </c>
      <c r="H88" s="3" t="s">
        <v>535</v>
      </c>
      <c r="I88" s="4" t="s">
        <v>25</v>
      </c>
      <c r="J88" s="4" t="s">
        <v>25</v>
      </c>
      <c r="K88" s="4" t="s">
        <v>25</v>
      </c>
      <c r="L88" s="3"/>
      <c r="M88" s="3" t="s">
        <v>536</v>
      </c>
      <c r="N88" s="3"/>
      <c r="O88" s="3"/>
    </row>
    <row r="89" customFormat="false" ht="68.65" hidden="false" customHeight="false" outlineLevel="0" collapsed="false">
      <c r="A89" s="3" t="s">
        <v>537</v>
      </c>
      <c r="B89" s="3" t="s">
        <v>538</v>
      </c>
      <c r="C89" s="3" t="s">
        <v>99</v>
      </c>
      <c r="D89" s="3" t="s">
        <v>539</v>
      </c>
      <c r="E89" s="3" t="s">
        <v>540</v>
      </c>
      <c r="F89" s="3" t="s">
        <v>541</v>
      </c>
      <c r="G89" s="3" t="s">
        <v>542</v>
      </c>
      <c r="H89" s="3" t="s">
        <v>543</v>
      </c>
      <c r="I89" s="4" t="s">
        <v>25</v>
      </c>
      <c r="J89" s="4" t="s">
        <v>25</v>
      </c>
      <c r="K89" s="4" t="s">
        <v>25</v>
      </c>
      <c r="L89" s="3"/>
      <c r="M89" s="3" t="s">
        <v>544</v>
      </c>
      <c r="N89" s="3"/>
      <c r="O89" s="3"/>
    </row>
    <row r="90" customFormat="false" ht="57.45" hidden="false" customHeight="false" outlineLevel="0" collapsed="false">
      <c r="A90" s="3" t="s">
        <v>545</v>
      </c>
      <c r="B90" s="3" t="s">
        <v>546</v>
      </c>
      <c r="C90" s="3" t="s">
        <v>99</v>
      </c>
      <c r="D90" s="3" t="s">
        <v>505</v>
      </c>
      <c r="E90" s="3" t="s">
        <v>547</v>
      </c>
      <c r="F90" s="3" t="s">
        <v>548</v>
      </c>
      <c r="G90" s="3" t="s">
        <v>549</v>
      </c>
      <c r="H90" s="3" t="s">
        <v>550</v>
      </c>
      <c r="I90" s="4" t="s">
        <v>25</v>
      </c>
      <c r="J90" s="4" t="s">
        <v>25</v>
      </c>
      <c r="K90" s="4" t="s">
        <v>25</v>
      </c>
      <c r="L90" s="3"/>
      <c r="M90" s="3" t="s">
        <v>551</v>
      </c>
      <c r="N90" s="3"/>
      <c r="O90" s="3"/>
    </row>
    <row r="91" customFormat="false" ht="57.45" hidden="false" customHeight="false" outlineLevel="0" collapsed="false">
      <c r="A91" s="3" t="s">
        <v>552</v>
      </c>
      <c r="B91" s="3" t="s">
        <v>553</v>
      </c>
      <c r="C91" s="3" t="s">
        <v>99</v>
      </c>
      <c r="D91" s="3" t="s">
        <v>554</v>
      </c>
      <c r="E91" s="3" t="s">
        <v>555</v>
      </c>
      <c r="F91" s="3" t="s">
        <v>556</v>
      </c>
      <c r="G91" s="3" t="s">
        <v>557</v>
      </c>
      <c r="H91" s="3" t="s">
        <v>558</v>
      </c>
      <c r="I91" s="4" t="s">
        <v>25</v>
      </c>
      <c r="J91" s="4" t="s">
        <v>25</v>
      </c>
      <c r="K91" s="4" t="s">
        <v>25</v>
      </c>
      <c r="L91" s="3"/>
      <c r="M91" s="3" t="s">
        <v>559</v>
      </c>
      <c r="N91" s="3"/>
      <c r="O91" s="3"/>
    </row>
    <row r="92" customFormat="false" ht="68.65" hidden="false" customHeight="false" outlineLevel="0" collapsed="false">
      <c r="A92" s="3" t="s">
        <v>560</v>
      </c>
      <c r="B92" s="3" t="s">
        <v>561</v>
      </c>
      <c r="C92" s="3" t="s">
        <v>99</v>
      </c>
      <c r="D92" s="3" t="s">
        <v>562</v>
      </c>
      <c r="E92" s="3" t="s">
        <v>563</v>
      </c>
      <c r="F92" s="3" t="s">
        <v>564</v>
      </c>
      <c r="G92" s="3" t="s">
        <v>565</v>
      </c>
      <c r="H92" s="3" t="s">
        <v>566</v>
      </c>
      <c r="I92" s="4" t="s">
        <v>25</v>
      </c>
      <c r="J92" s="4" t="s">
        <v>25</v>
      </c>
      <c r="K92" s="4" t="s">
        <v>25</v>
      </c>
      <c r="L92" s="3"/>
      <c r="M92" s="3" t="s">
        <v>567</v>
      </c>
      <c r="N92" s="3"/>
      <c r="O92" s="3"/>
    </row>
    <row r="93" customFormat="false" ht="68.65" hidden="false" customHeight="false" outlineLevel="0" collapsed="false">
      <c r="A93" s="3" t="s">
        <v>568</v>
      </c>
      <c r="B93" s="3" t="s">
        <v>569</v>
      </c>
      <c r="C93" s="3" t="s">
        <v>99</v>
      </c>
      <c r="D93" s="3" t="s">
        <v>562</v>
      </c>
      <c r="E93" s="3" t="s">
        <v>570</v>
      </c>
      <c r="F93" s="3" t="s">
        <v>571</v>
      </c>
      <c r="G93" s="3" t="s">
        <v>23</v>
      </c>
      <c r="H93" s="3" t="s">
        <v>572</v>
      </c>
      <c r="I93" s="4" t="s">
        <v>25</v>
      </c>
      <c r="J93" s="4" t="s">
        <v>25</v>
      </c>
      <c r="K93" s="4" t="s">
        <v>25</v>
      </c>
      <c r="L93" s="3"/>
      <c r="M93" s="3" t="s">
        <v>573</v>
      </c>
      <c r="N93" s="3"/>
      <c r="O93" s="3"/>
    </row>
    <row r="94" customFormat="false" ht="57.45" hidden="false" customHeight="false" outlineLevel="0" collapsed="false">
      <c r="A94" s="3" t="s">
        <v>574</v>
      </c>
      <c r="B94" s="3" t="s">
        <v>575</v>
      </c>
      <c r="C94" s="3" t="s">
        <v>99</v>
      </c>
      <c r="D94" s="3" t="s">
        <v>576</v>
      </c>
      <c r="E94" s="3" t="s">
        <v>577</v>
      </c>
      <c r="F94" s="3" t="s">
        <v>578</v>
      </c>
      <c r="G94" s="3" t="s">
        <v>172</v>
      </c>
      <c r="H94" s="3" t="s">
        <v>579</v>
      </c>
      <c r="I94" s="4" t="s">
        <v>25</v>
      </c>
      <c r="J94" s="4" t="s">
        <v>25</v>
      </c>
      <c r="K94" s="4" t="s">
        <v>25</v>
      </c>
      <c r="L94" s="3"/>
      <c r="M94" s="3" t="s">
        <v>580</v>
      </c>
      <c r="N94" s="3"/>
      <c r="O94" s="3"/>
    </row>
    <row r="95" customFormat="false" ht="68.65" hidden="false" customHeight="false" outlineLevel="0" collapsed="false">
      <c r="A95" s="3" t="s">
        <v>581</v>
      </c>
      <c r="B95" s="3" t="s">
        <v>582</v>
      </c>
      <c r="C95" s="3" t="s">
        <v>99</v>
      </c>
      <c r="D95" s="3" t="s">
        <v>583</v>
      </c>
      <c r="E95" s="3" t="s">
        <v>584</v>
      </c>
      <c r="F95" s="3" t="s">
        <v>585</v>
      </c>
      <c r="G95" s="3" t="s">
        <v>586</v>
      </c>
      <c r="H95" s="3" t="s">
        <v>587</v>
      </c>
      <c r="I95" s="4" t="s">
        <v>25</v>
      </c>
      <c r="J95" s="4" t="s">
        <v>25</v>
      </c>
      <c r="K95" s="4" t="s">
        <v>25</v>
      </c>
      <c r="L95" s="3"/>
      <c r="M95" s="3" t="s">
        <v>588</v>
      </c>
      <c r="N95" s="3"/>
      <c r="O95" s="3"/>
    </row>
    <row r="96" customFormat="false" ht="79.85" hidden="false" customHeight="false" outlineLevel="0" collapsed="false">
      <c r="A96" s="3" t="s">
        <v>589</v>
      </c>
      <c r="B96" s="3" t="s">
        <v>590</v>
      </c>
      <c r="C96" s="3" t="s">
        <v>99</v>
      </c>
      <c r="D96" s="3" t="s">
        <v>591</v>
      </c>
      <c r="E96" s="3" t="s">
        <v>592</v>
      </c>
      <c r="F96" s="3" t="s">
        <v>593</v>
      </c>
      <c r="G96" s="3" t="s">
        <v>594</v>
      </c>
      <c r="H96" s="3" t="s">
        <v>595</v>
      </c>
      <c r="I96" s="4" t="s">
        <v>25</v>
      </c>
      <c r="J96" s="4" t="s">
        <v>25</v>
      </c>
      <c r="K96" s="4" t="s">
        <v>25</v>
      </c>
      <c r="L96" s="3"/>
      <c r="M96" s="3" t="s">
        <v>596</v>
      </c>
      <c r="N96" s="3"/>
      <c r="O96" s="3"/>
    </row>
  </sheetData>
  <mergeCells count="18">
    <mergeCell ref="A2:O2"/>
    <mergeCell ref="A3:O3"/>
    <mergeCell ref="A6:O6"/>
    <mergeCell ref="A10:O10"/>
    <mergeCell ref="A18:O18"/>
    <mergeCell ref="A28:O28"/>
    <mergeCell ref="A31:O31"/>
    <mergeCell ref="A34:O34"/>
    <mergeCell ref="A39:O39"/>
    <mergeCell ref="A41:O41"/>
    <mergeCell ref="A45:O45"/>
    <mergeCell ref="A54:O54"/>
    <mergeCell ref="A61:O61"/>
    <mergeCell ref="A64:O64"/>
    <mergeCell ref="A69:O69"/>
    <mergeCell ref="A73:O73"/>
    <mergeCell ref="A81:O81"/>
    <mergeCell ref="A83:O83"/>
  </mergeCells>
  <dataValidations count="1">
    <dataValidation allowBlank="true" error="Chọn Todo, Pass, Fail hoặc NA" errorStyle="stop" errorTitle="Kết quả" operator="between" showDropDown="false" showErrorMessage="true" showInputMessage="false" sqref="I4:K5 I7:K9 I11:K17 I19:K27 I29:K30 I32:K33 I35:K38 I40:K40 I42:K44 I46:K53 I55:K60 I62:K63 I65:K68 I70:K72 I74:K80 I82:K82 I84:K96" type="list">
      <formula1>"Todo,Pass,Fail,NA"</formula1>
      <formula2>0</formula2>
    </dataValidation>
  </dataValidations>
  <printOptions headings="false" gridLines="false" gridLinesSet="true" horizontalCentered="false" verticalCentered="false"/>
  <pageMargins left="0.5" right="0.5"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zeroHeight="false" outlineLevelRow="0" outlineLevelCol="0"/>
  <cols>
    <col collapsed="false" customWidth="true" hidden="false" outlineLevel="0" max="1" min="1" style="0" width="14"/>
    <col collapsed="false" customWidth="true" hidden="false" outlineLevel="0" max="6" min="2" style="0" width="12"/>
  </cols>
  <sheetData>
    <row r="1" customFormat="false" ht="12.8" hidden="false" customHeight="false" outlineLevel="0" collapsed="false">
      <c r="A1" s="1"/>
      <c r="B1" s="1" t="s">
        <v>597</v>
      </c>
      <c r="C1" s="1" t="s">
        <v>598</v>
      </c>
      <c r="D1" s="1" t="s">
        <v>599</v>
      </c>
      <c r="E1" s="1" t="s">
        <v>25</v>
      </c>
      <c r="F1" s="1" t="s">
        <v>600</v>
      </c>
    </row>
    <row r="2" customFormat="false" ht="12.8" hidden="false" customHeight="false" outlineLevel="0" collapsed="false">
      <c r="A2" s="2" t="s">
        <v>8</v>
      </c>
      <c r="B2" s="3" t="n">
        <f aca="false">COUNTIF('Test cases'!$I$2:$I$96,"Pass")</f>
        <v>0</v>
      </c>
      <c r="C2" s="3" t="n">
        <f aca="false">COUNTIF('Test cases'!$I$2:$I$96,"Fail")</f>
        <v>0</v>
      </c>
      <c r="D2" s="3" t="n">
        <f aca="false">COUNTIF('Test cases'!$I$2:$I$96,"NA")</f>
        <v>0</v>
      </c>
      <c r="E2" s="3" t="n">
        <f aca="false">COUNTIF('Test cases'!$I$2:$I$96,"Todo")</f>
        <v>77</v>
      </c>
      <c r="F2" s="3" t="n">
        <f aca="false">SUM(B2:E2)</f>
        <v>77</v>
      </c>
    </row>
    <row r="3" customFormat="false" ht="12.8" hidden="false" customHeight="false" outlineLevel="0" collapsed="false">
      <c r="A3" s="2" t="s">
        <v>9</v>
      </c>
      <c r="B3" s="3" t="n">
        <f aca="false">COUNTIF('Test cases'!$J$2:$J$96,"Pass")</f>
        <v>0</v>
      </c>
      <c r="C3" s="3" t="n">
        <f aca="false">COUNTIF('Test cases'!$J$2:$J$96,"Fail")</f>
        <v>0</v>
      </c>
      <c r="D3" s="3" t="n">
        <f aca="false">COUNTIF('Test cases'!$J$2:$J$96,"NA")</f>
        <v>0</v>
      </c>
      <c r="E3" s="3" t="n">
        <f aca="false">COUNTIF('Test cases'!$J$2:$J$96,"Todo")</f>
        <v>77</v>
      </c>
      <c r="F3" s="3" t="n">
        <f aca="false">SUM(B3:E3)</f>
        <v>77</v>
      </c>
    </row>
    <row r="4" customFormat="false" ht="12.8" hidden="false" customHeight="false" outlineLevel="0" collapsed="false">
      <c r="A4" s="2" t="s">
        <v>10</v>
      </c>
      <c r="B4" s="3" t="n">
        <f aca="false">COUNTIF('Test cases'!$K$2:$K$96,"Pass")</f>
        <v>0</v>
      </c>
      <c r="C4" s="3" t="n">
        <f aca="false">COUNTIF('Test cases'!$K$2:$K$96,"Fail")</f>
        <v>0</v>
      </c>
      <c r="D4" s="3" t="n">
        <f aca="false">COUNTIF('Test cases'!$K$2:$K$96,"NA")</f>
        <v>0</v>
      </c>
      <c r="E4" s="3" t="n">
        <f aca="false">COUNTIF('Test cases'!$K$2:$K$96,"Todo")</f>
        <v>77</v>
      </c>
      <c r="F4" s="3" t="n">
        <f aca="false">SUM(B4:E4)</f>
        <v>77</v>
      </c>
    </row>
    <row r="6" customFormat="false" ht="12.8" hidden="false" customHeight="false" outlineLevel="0" collapsed="false">
      <c r="A6" s="2" t="s">
        <v>601</v>
      </c>
      <c r="B6" s="3" t="n">
        <f aca="false">COUNTIF('Test cases'!$A$2:$A$96,"[US6_*")</f>
        <v>77</v>
      </c>
    </row>
    <row r="7" customFormat="false" ht="12.8" hidden="false" customHeight="false" outlineLevel="0" collapsed="false">
      <c r="A7" s="2" t="s">
        <v>602</v>
      </c>
      <c r="B7" s="3" t="n">
        <f aca="false">COUNTIF('Test cases'!$M$2:$M$96,"*❓*")</f>
        <v>13</v>
      </c>
    </row>
    <row r="9" customFormat="false" ht="12.8" hidden="false" customHeight="false" outlineLevel="0" collapsed="false">
      <c r="A9" s="7" t="s">
        <v>603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zeroHeight="false" outlineLevelRow="0" outlineLevelCol="0"/>
  <cols>
    <col collapsed="false" customWidth="true" hidden="false" outlineLevel="0" max="1" min="1" style="0" width="26"/>
    <col collapsed="false" customWidth="true" hidden="false" outlineLevel="0" max="2" min="2" style="0" width="120"/>
    <col collapsed="false" customWidth="true" hidden="false" outlineLevel="0" max="4" min="3" style="0" width="30"/>
  </cols>
  <sheetData>
    <row r="1" customFormat="false" ht="12.8" hidden="false" customHeight="false" outlineLevel="0" collapsed="false">
      <c r="A1" s="1" t="s">
        <v>604</v>
      </c>
      <c r="B1" s="1" t="s">
        <v>605</v>
      </c>
    </row>
    <row r="2" customFormat="false" ht="12.8" hidden="false" customHeight="false" outlineLevel="0" collapsed="false">
      <c r="A2" s="2" t="s">
        <v>606</v>
      </c>
      <c r="B2" s="3" t="s">
        <v>607</v>
      </c>
    </row>
    <row r="3" customFormat="false" ht="12.8" hidden="false" customHeight="false" outlineLevel="0" collapsed="false">
      <c r="A3" s="2" t="s">
        <v>608</v>
      </c>
      <c r="B3" s="3" t="s">
        <v>609</v>
      </c>
    </row>
    <row r="4" customFormat="false" ht="46.25" hidden="false" customHeight="false" outlineLevel="0" collapsed="false">
      <c r="A4" s="2" t="s">
        <v>610</v>
      </c>
      <c r="B4" s="3" t="s">
        <v>611</v>
      </c>
    </row>
    <row r="5" customFormat="false" ht="23.85" hidden="false" customHeight="false" outlineLevel="0" collapsed="false">
      <c r="A5" s="2" t="s">
        <v>612</v>
      </c>
      <c r="B5" s="3" t="s">
        <v>613</v>
      </c>
    </row>
    <row r="6" customFormat="false" ht="23.85" hidden="false" customHeight="false" outlineLevel="0" collapsed="false">
      <c r="A6" s="2" t="s">
        <v>614</v>
      </c>
      <c r="B6" s="3" t="s">
        <v>615</v>
      </c>
    </row>
    <row r="7" customFormat="false" ht="12.8" hidden="false" customHeight="false" outlineLevel="0" collapsed="false">
      <c r="A7" s="2" t="s">
        <v>616</v>
      </c>
      <c r="B7" s="3" t="s">
        <v>617</v>
      </c>
    </row>
    <row r="9" customFormat="false" ht="12.8" hidden="false" customHeight="false" outlineLevel="0" collapsed="false">
      <c r="A9" s="1" t="s">
        <v>618</v>
      </c>
      <c r="B9" s="1"/>
    </row>
    <row r="10" customFormat="false" ht="35.05" hidden="false" customHeight="false" outlineLevel="0" collapsed="false">
      <c r="A10" s="2" t="s">
        <v>21</v>
      </c>
      <c r="B10" s="3" t="s">
        <v>619</v>
      </c>
    </row>
    <row r="11" customFormat="false" ht="35.05" hidden="false" customHeight="false" outlineLevel="0" collapsed="false">
      <c r="A11" s="2" t="s">
        <v>189</v>
      </c>
      <c r="B11" s="3" t="s">
        <v>620</v>
      </c>
    </row>
    <row r="12" customFormat="false" ht="12.8" hidden="false" customHeight="false" outlineLevel="0" collapsed="false">
      <c r="A12" s="2" t="s">
        <v>499</v>
      </c>
      <c r="B12" s="3" t="s">
        <v>621</v>
      </c>
    </row>
    <row r="13" customFormat="false" ht="12.8" hidden="false" customHeight="false" outlineLevel="0" collapsed="false">
      <c r="A13" s="2" t="s">
        <v>622</v>
      </c>
      <c r="B13" s="3" t="s">
        <v>623</v>
      </c>
    </row>
    <row r="14" customFormat="false" ht="12.8" hidden="false" customHeight="false" outlineLevel="0" collapsed="false">
      <c r="A14" s="2" t="s">
        <v>624</v>
      </c>
      <c r="B14" s="3" t="s">
        <v>625</v>
      </c>
    </row>
    <row r="15" customFormat="false" ht="12.8" hidden="false" customHeight="false" outlineLevel="0" collapsed="false">
      <c r="A15" s="2" t="s">
        <v>626</v>
      </c>
      <c r="B15" s="3" t="s">
        <v>627</v>
      </c>
    </row>
    <row r="16" customFormat="false" ht="12.8" hidden="false" customHeight="false" outlineLevel="0" collapsed="false">
      <c r="A16" s="2" t="s">
        <v>628</v>
      </c>
      <c r="B16" s="3" t="s">
        <v>629</v>
      </c>
    </row>
    <row r="18" customFormat="false" ht="12.8" hidden="false" customHeight="false" outlineLevel="0" collapsed="false">
      <c r="A18" s="1" t="s">
        <v>630</v>
      </c>
      <c r="B18" s="1" t="s">
        <v>631</v>
      </c>
      <c r="C18" s="1" t="s">
        <v>632</v>
      </c>
      <c r="D18" s="1" t="s">
        <v>633</v>
      </c>
    </row>
    <row r="19" customFormat="false" ht="23.85" hidden="false" customHeight="false" outlineLevel="0" collapsed="false">
      <c r="A19" s="3" t="s">
        <v>634</v>
      </c>
      <c r="B19" s="3" t="s">
        <v>635</v>
      </c>
      <c r="C19" s="3" t="s">
        <v>159</v>
      </c>
      <c r="D19" s="3" t="s">
        <v>636</v>
      </c>
    </row>
    <row r="20" customFormat="false" ht="23.85" hidden="false" customHeight="false" outlineLevel="0" collapsed="false">
      <c r="A20" s="3" t="s">
        <v>637</v>
      </c>
      <c r="B20" s="3" t="s">
        <v>638</v>
      </c>
      <c r="C20" s="3" t="s">
        <v>639</v>
      </c>
      <c r="D20" s="3" t="s">
        <v>640</v>
      </c>
    </row>
    <row r="21" customFormat="false" ht="23.85" hidden="false" customHeight="false" outlineLevel="0" collapsed="false">
      <c r="A21" s="3" t="s">
        <v>641</v>
      </c>
      <c r="B21" s="3" t="s">
        <v>642</v>
      </c>
      <c r="C21" s="3" t="s">
        <v>273</v>
      </c>
      <c r="D21" s="3" t="s">
        <v>640</v>
      </c>
    </row>
    <row r="22" customFormat="false" ht="23.85" hidden="false" customHeight="false" outlineLevel="0" collapsed="false">
      <c r="A22" s="3" t="s">
        <v>643</v>
      </c>
      <c r="B22" s="3" t="s">
        <v>644</v>
      </c>
      <c r="C22" s="3" t="s">
        <v>645</v>
      </c>
      <c r="D22" s="3" t="s">
        <v>646</v>
      </c>
    </row>
    <row r="23" customFormat="false" ht="23.85" hidden="false" customHeight="false" outlineLevel="0" collapsed="false">
      <c r="A23" s="3" t="s">
        <v>647</v>
      </c>
      <c r="B23" s="3" t="s">
        <v>648</v>
      </c>
      <c r="C23" s="3" t="s">
        <v>649</v>
      </c>
      <c r="D23" s="3" t="s">
        <v>640</v>
      </c>
    </row>
    <row r="24" customFormat="false" ht="12.8" hidden="false" customHeight="false" outlineLevel="0" collapsed="false">
      <c r="A24" s="3" t="s">
        <v>650</v>
      </c>
      <c r="B24" s="3" t="s">
        <v>651</v>
      </c>
      <c r="C24" s="3" t="s">
        <v>175</v>
      </c>
      <c r="D24" s="3" t="s">
        <v>652</v>
      </c>
    </row>
    <row r="25" customFormat="false" ht="46.25" hidden="false" customHeight="false" outlineLevel="0" collapsed="false">
      <c r="A25" s="3" t="s">
        <v>653</v>
      </c>
      <c r="B25" s="3" t="s">
        <v>654</v>
      </c>
      <c r="C25" s="3" t="s">
        <v>655</v>
      </c>
      <c r="D25" s="3" t="s">
        <v>656</v>
      </c>
    </row>
    <row r="26" customFormat="false" ht="23.85" hidden="false" customHeight="false" outlineLevel="0" collapsed="false">
      <c r="A26" s="3" t="s">
        <v>657</v>
      </c>
      <c r="B26" s="3" t="s">
        <v>658</v>
      </c>
      <c r="C26" s="3" t="s">
        <v>659</v>
      </c>
      <c r="D26" s="3" t="s">
        <v>660</v>
      </c>
    </row>
    <row r="27" customFormat="false" ht="23.85" hidden="false" customHeight="false" outlineLevel="0" collapsed="false">
      <c r="A27" s="3" t="s">
        <v>661</v>
      </c>
      <c r="B27" s="3" t="s">
        <v>662</v>
      </c>
      <c r="C27" s="3" t="s">
        <v>663</v>
      </c>
      <c r="D27" s="3" t="s">
        <v>664</v>
      </c>
    </row>
    <row r="28" customFormat="false" ht="12.8" hidden="false" customHeight="false" outlineLevel="0" collapsed="false">
      <c r="A28" s="3" t="s">
        <v>665</v>
      </c>
      <c r="B28" s="3" t="s">
        <v>666</v>
      </c>
      <c r="C28" s="3" t="s">
        <v>667</v>
      </c>
      <c r="D28" s="3" t="s">
        <v>664</v>
      </c>
    </row>
    <row r="29" customFormat="false" ht="23.85" hidden="false" customHeight="false" outlineLevel="0" collapsed="false">
      <c r="A29" s="3" t="s">
        <v>668</v>
      </c>
      <c r="B29" s="3" t="s">
        <v>669</v>
      </c>
      <c r="C29" s="3" t="s">
        <v>240</v>
      </c>
      <c r="D29" s="3" t="s">
        <v>670</v>
      </c>
    </row>
    <row r="30" customFormat="false" ht="35.05" hidden="false" customHeight="false" outlineLevel="0" collapsed="false">
      <c r="A30" s="3" t="s">
        <v>671</v>
      </c>
      <c r="B30" s="3" t="s">
        <v>672</v>
      </c>
      <c r="C30" s="3" t="s">
        <v>673</v>
      </c>
      <c r="D30" s="3" t="s">
        <v>674</v>
      </c>
    </row>
    <row r="31" customFormat="false" ht="12.8" hidden="false" customHeight="false" outlineLevel="0" collapsed="false">
      <c r="A31" s="3" t="s">
        <v>675</v>
      </c>
      <c r="B31" s="3" t="s">
        <v>676</v>
      </c>
      <c r="C31" s="3" t="s">
        <v>486</v>
      </c>
      <c r="D31" s="3" t="s">
        <v>677</v>
      </c>
    </row>
    <row r="32" customFormat="false" ht="35.05" hidden="false" customHeight="false" outlineLevel="0" collapsed="false">
      <c r="A32" s="3" t="s">
        <v>678</v>
      </c>
      <c r="B32" s="3" t="s">
        <v>679</v>
      </c>
      <c r="C32" s="3" t="s">
        <v>680</v>
      </c>
      <c r="D32" s="3" t="s">
        <v>664</v>
      </c>
    </row>
    <row r="34" customFormat="false" ht="23.85" hidden="false" customHeight="false" outlineLevel="0" collapsed="false">
      <c r="A34" s="8" t="s">
        <v>681</v>
      </c>
      <c r="B34" s="3" t="s">
        <v>682</v>
      </c>
    </row>
    <row r="35" customFormat="false" ht="23.85" hidden="false" customHeight="false" outlineLevel="0" collapsed="false">
      <c r="A35" s="5" t="s">
        <v>683</v>
      </c>
      <c r="B35" s="5" t="s">
        <v>684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